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料" sheetId="1" state="visible" r:id="rId1"/>
    <sheet name="說明" sheetId="2" state="visible" r:id="rId2"/>
  </sheets>
  <definedNames>
    <definedName name="_xlnm._FilterDatabase" localSheetId="0" hidden="1">'資料'!$A$1:$S$501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.5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color rgb="00C0392B"/>
        <sz val="10"/>
      </font>
    </dxf>
    <dxf>
      <font>
        <name val="Arial"/>
        <color rgb="001E7B34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產業分類</t>
        </is>
      </c>
      <c r="D1" s="1" t="inlineStr">
        <is>
          <t>Q1毛利率%</t>
        </is>
      </c>
      <c r="E1" s="1" t="inlineStr">
        <is>
          <t>Q1營業利益率%</t>
        </is>
      </c>
      <c r="F1" s="1" t="inlineStr">
        <is>
          <t>Q1稅後純益率%</t>
        </is>
      </c>
      <c r="G1" s="1" t="inlineStr">
        <is>
          <t>Q2毛利率%</t>
        </is>
      </c>
      <c r="H1" s="1" t="inlineStr">
        <is>
          <t>Q2營業利益率%</t>
        </is>
      </c>
      <c r="I1" s="1" t="inlineStr">
        <is>
          <t>Q2稅後純益率%</t>
        </is>
      </c>
      <c r="J1" s="1" t="inlineStr">
        <is>
          <t>毛利率成長(pp)</t>
        </is>
      </c>
      <c r="K1" s="1" t="inlineStr">
        <is>
          <t>營業利益率成長(pp)</t>
        </is>
      </c>
      <c r="L1" s="1" t="inlineStr">
        <is>
          <t>稅後純益率成長(pp)</t>
        </is>
      </c>
      <c r="M1" s="1" t="inlineStr">
        <is>
          <t>Q1 EPS</t>
        </is>
      </c>
      <c r="N1" s="1" t="inlineStr">
        <is>
          <t>H1 EPS</t>
        </is>
      </c>
      <c r="O1" s="1" t="inlineStr">
        <is>
          <t>Q2 EPS</t>
        </is>
      </c>
      <c r="P1" s="1" t="inlineStr">
        <is>
          <t>目前本益比</t>
        </is>
      </c>
      <c r="Q1" s="1" t="inlineStr">
        <is>
          <t>目前股價</t>
        </is>
      </c>
      <c r="R1" s="1" t="inlineStr">
        <is>
          <t>今年配息(元)</t>
        </is>
      </c>
      <c r="S1" s="1" t="inlineStr">
        <is>
          <t>殖利率%</t>
        </is>
      </c>
    </row>
    <row r="2" ht="16" customHeight="1">
      <c r="A2" s="2" t="inlineStr">
        <is>
          <t>1101</t>
        </is>
      </c>
      <c r="B2" s="2" t="inlineStr">
        <is>
          <t>台泥</t>
        </is>
      </c>
      <c r="C2" s="2" t="inlineStr">
        <is>
          <t>水泥工業</t>
        </is>
      </c>
      <c r="D2" s="3" t="n">
        <v>18.72</v>
      </c>
      <c r="E2" s="3" t="n">
        <v>8.42</v>
      </c>
      <c r="F2" s="3" t="n">
        <v>3.63</v>
      </c>
      <c r="G2" s="3" t="n">
        <v>17.79</v>
      </c>
      <c r="H2" s="3" t="n">
        <v>6.23</v>
      </c>
      <c r="I2" s="3" t="n">
        <v>8.83</v>
      </c>
      <c r="J2" s="4">
        <f>IF(OR(D2="",G2=""),"",G2-D2)</f>
        <v/>
      </c>
      <c r="K2" s="4">
        <f>IF(OR(E2="",H2=""),"",H2-E2)</f>
        <v/>
      </c>
      <c r="L2" s="4">
        <f>IF(OR(F2="",I2=""),"",I2-F2)</f>
        <v/>
      </c>
      <c r="M2" s="3" t="n">
        <v>0.1</v>
      </c>
      <c r="N2" s="3" t="n">
        <v>0.38</v>
      </c>
      <c r="O2" s="3" t="n">
        <v>0.28</v>
      </c>
      <c r="P2" s="3" t="n"/>
      <c r="Q2" s="3" t="n">
        <v>28.35</v>
      </c>
      <c r="R2" s="3" t="n">
        <v>0</v>
      </c>
      <c r="S2" s="3">
        <f>IF(OR(Q2="",R2="",Q2=0),"",R2/Q2*100)</f>
        <v/>
      </c>
    </row>
    <row r="3" ht="16" customHeight="1">
      <c r="A3" s="2" t="inlineStr">
        <is>
          <t>1102</t>
        </is>
      </c>
      <c r="B3" s="2" t="inlineStr">
        <is>
          <t>亞泥</t>
        </is>
      </c>
      <c r="C3" s="2" t="inlineStr">
        <is>
          <t>水泥工業</t>
        </is>
      </c>
      <c r="D3" s="3" t="n">
        <v>13</v>
      </c>
      <c r="E3" s="3" t="n">
        <v>7.99</v>
      </c>
      <c r="F3" s="3" t="n">
        <v>12.08</v>
      </c>
      <c r="G3" s="3" t="n">
        <v>14.02</v>
      </c>
      <c r="H3" s="3" t="n">
        <v>9.609999999999999</v>
      </c>
      <c r="I3" s="3" t="n">
        <v>29.39</v>
      </c>
      <c r="J3" s="4">
        <f>IF(OR(D3="",G3=""),"",G3-D3)</f>
        <v/>
      </c>
      <c r="K3" s="4">
        <f>IF(OR(E3="",H3=""),"",H3-E3)</f>
        <v/>
      </c>
      <c r="L3" s="4">
        <f>IF(OR(F3="",I3=""),"",I3-F3)</f>
        <v/>
      </c>
      <c r="M3" s="3" t="n">
        <v>0.5600000000000001</v>
      </c>
      <c r="N3" s="3" t="n">
        <v>2.2</v>
      </c>
      <c r="O3" s="3" t="n">
        <v>1.64</v>
      </c>
      <c r="P3" s="3" t="n">
        <v>9.24</v>
      </c>
      <c r="Q3" s="3" t="n">
        <v>38.05</v>
      </c>
      <c r="R3" s="3" t="n">
        <v>2.3</v>
      </c>
      <c r="S3" s="3">
        <f>IF(OR(Q3="",R3="",Q3=0),"",R3/Q3*100)</f>
        <v/>
      </c>
    </row>
    <row r="4" ht="16" customHeight="1">
      <c r="A4" s="2" t="inlineStr">
        <is>
          <t>1104</t>
        </is>
      </c>
      <c r="B4" s="2" t="inlineStr">
        <is>
          <t>環泥</t>
        </is>
      </c>
      <c r="C4" s="2" t="inlineStr">
        <is>
          <t>水泥</t>
        </is>
      </c>
      <c r="D4" s="3" t="n">
        <v>27.94</v>
      </c>
      <c r="E4" s="3" t="n">
        <v>16.25</v>
      </c>
      <c r="F4" s="3" t="n">
        <v>16.51</v>
      </c>
      <c r="G4" s="3" t="n">
        <v>26.38</v>
      </c>
      <c r="H4" s="3" t="n">
        <v>14.5</v>
      </c>
      <c r="I4" s="3" t="n">
        <v>27.46</v>
      </c>
      <c r="J4" s="4">
        <f>IF(OR(D4="",G4=""),"",G4-D4)</f>
        <v/>
      </c>
      <c r="K4" s="4">
        <f>IF(OR(E4="",H4=""),"",H4-E4)</f>
        <v/>
      </c>
      <c r="L4" s="4">
        <f>IF(OR(F4="",I4=""),"",I4-F4)</f>
        <v/>
      </c>
      <c r="M4" s="3" t="n">
        <v>0.41</v>
      </c>
      <c r="N4" s="3" t="n">
        <v>1.12</v>
      </c>
      <c r="O4" s="3" t="n">
        <v>0.71</v>
      </c>
      <c r="P4" s="3" t="n">
        <v>9.94</v>
      </c>
      <c r="Q4" s="3" t="n">
        <v>26.75</v>
      </c>
      <c r="R4" s="3" t="n">
        <v>1.85</v>
      </c>
      <c r="S4" s="3">
        <f>IF(OR(Q4="",R4="",Q4=0),"",R4/Q4*100)</f>
        <v/>
      </c>
    </row>
    <row r="5" ht="16" customHeight="1">
      <c r="A5" s="2" t="inlineStr">
        <is>
          <t>1210</t>
        </is>
      </c>
      <c r="B5" s="2" t="inlineStr">
        <is>
          <t>大成</t>
        </is>
      </c>
      <c r="C5" s="2" t="inlineStr">
        <is>
          <t>食品工業</t>
        </is>
      </c>
      <c r="D5" s="3" t="n">
        <v>14.07</v>
      </c>
      <c r="E5" s="3" t="n">
        <v>4.39</v>
      </c>
      <c r="F5" s="3" t="n">
        <v>3.6</v>
      </c>
      <c r="G5" s="3" t="n">
        <v>13.35</v>
      </c>
      <c r="H5" s="3" t="n">
        <v>3.39</v>
      </c>
      <c r="I5" s="3" t="n">
        <v>2.22</v>
      </c>
      <c r="J5" s="4">
        <f>IF(OR(D5="",G5=""),"",G5-D5)</f>
        <v/>
      </c>
      <c r="K5" s="4">
        <f>IF(OR(E5="",H5=""),"",H5-E5)</f>
        <v/>
      </c>
      <c r="L5" s="4">
        <f>IF(OR(F5="",I5=""),"",I5-F5)</f>
        <v/>
      </c>
      <c r="M5" s="3" t="n">
        <v>0.9399999999999999</v>
      </c>
      <c r="N5" s="3" t="n">
        <v>1.52</v>
      </c>
      <c r="O5" s="3" t="n">
        <v>0.58</v>
      </c>
      <c r="P5" s="3" t="n">
        <v>12.75</v>
      </c>
      <c r="Q5" s="3" t="n">
        <v>51.6</v>
      </c>
      <c r="R5" s="3" t="n">
        <v>3</v>
      </c>
      <c r="S5" s="3">
        <f>IF(OR(Q5="",R5="",Q5=0),"",R5/Q5*100)</f>
        <v/>
      </c>
    </row>
    <row r="6" ht="16" customHeight="1">
      <c r="A6" s="2" t="inlineStr">
        <is>
          <t>1215</t>
        </is>
      </c>
      <c r="B6" s="2" t="inlineStr">
        <is>
          <t>卜蜂</t>
        </is>
      </c>
      <c r="C6" s="2" t="inlineStr">
        <is>
          <t>食品工業</t>
        </is>
      </c>
      <c r="D6" s="3" t="n">
        <v>17.74</v>
      </c>
      <c r="E6" s="3" t="n">
        <v>7.99</v>
      </c>
      <c r="F6" s="3" t="n">
        <v>5.2</v>
      </c>
      <c r="G6" s="3" t="n">
        <v>18.77</v>
      </c>
      <c r="H6" s="3" t="n">
        <v>10.52</v>
      </c>
      <c r="I6" s="3" t="n">
        <v>8.19</v>
      </c>
      <c r="J6" s="4">
        <f>IF(OR(D6="",G6=""),"",G6-D6)</f>
        <v/>
      </c>
      <c r="K6" s="4">
        <f>IF(OR(E6="",H6=""),"",H6-E6)</f>
        <v/>
      </c>
      <c r="L6" s="4">
        <f>IF(OR(F6="",I6=""),"",I6-F6)</f>
        <v/>
      </c>
      <c r="M6" s="3" t="n">
        <v>1.26</v>
      </c>
      <c r="N6" s="3" t="n">
        <v>3.23</v>
      </c>
      <c r="O6" s="3" t="n">
        <v>1.97</v>
      </c>
      <c r="P6" s="3" t="n">
        <v>12.9</v>
      </c>
      <c r="Q6" s="3" t="n">
        <v>104</v>
      </c>
      <c r="R6" s="3" t="n">
        <v>7</v>
      </c>
      <c r="S6" s="3">
        <f>IF(OR(Q6="",R6="",Q6=0),"",R6/Q6*100)</f>
        <v/>
      </c>
    </row>
    <row r="7" ht="16" customHeight="1">
      <c r="A7" s="2" t="inlineStr">
        <is>
          <t>1216</t>
        </is>
      </c>
      <c r="B7" s="2" t="inlineStr">
        <is>
          <t>統一</t>
        </is>
      </c>
      <c r="C7" s="2" t="inlineStr">
        <is>
          <t>食品工業</t>
        </is>
      </c>
      <c r="D7" s="3" t="n">
        <v>33.78</v>
      </c>
      <c r="E7" s="3" t="n">
        <v>5.86</v>
      </c>
      <c r="F7" s="3" t="n">
        <v>5.58</v>
      </c>
      <c r="G7" s="3" t="n">
        <v>33.98</v>
      </c>
      <c r="H7" s="3" t="n">
        <v>5.86</v>
      </c>
      <c r="I7" s="3" t="n">
        <v>6.44</v>
      </c>
      <c r="J7" s="4">
        <f>IF(OR(D7="",G7=""),"",G7-D7)</f>
        <v/>
      </c>
      <c r="K7" s="4">
        <f>IF(OR(E7="",H7=""),"",H7-E7)</f>
        <v/>
      </c>
      <c r="L7" s="4">
        <f>IF(OR(F7="",I7=""),"",I7-F7)</f>
        <v/>
      </c>
      <c r="M7" s="3" t="n">
        <v>1.15</v>
      </c>
      <c r="N7" s="3" t="n">
        <v>2.48</v>
      </c>
      <c r="O7" s="3" t="n">
        <v>1.33</v>
      </c>
      <c r="P7" s="3" t="n">
        <v>18.31</v>
      </c>
      <c r="Q7" s="3" t="n">
        <v>80.2</v>
      </c>
      <c r="R7" s="3" t="n">
        <v>3</v>
      </c>
      <c r="S7" s="3">
        <f>IF(OR(Q7="",R7="",Q7=0),"",R7/Q7*100)</f>
        <v/>
      </c>
    </row>
    <row r="8" ht="16" customHeight="1">
      <c r="A8" s="2" t="inlineStr">
        <is>
          <t>1227</t>
        </is>
      </c>
      <c r="B8" s="2" t="inlineStr">
        <is>
          <t>佳格</t>
        </is>
      </c>
      <c r="C8" s="2" t="inlineStr">
        <is>
          <t>食品</t>
        </is>
      </c>
      <c r="D8" s="3" t="n">
        <v>25.38</v>
      </c>
      <c r="E8" s="3" t="n">
        <v>6.18</v>
      </c>
      <c r="F8" s="3" t="n">
        <v>5.56</v>
      </c>
      <c r="G8" s="3" t="n">
        <v>23.24</v>
      </c>
      <c r="H8" s="3" t="n">
        <v>0.71</v>
      </c>
      <c r="I8" s="3" t="n">
        <v>4.18</v>
      </c>
      <c r="J8" s="4">
        <f>IF(OR(D8="",G8=""),"",G8-D8)</f>
        <v/>
      </c>
      <c r="K8" s="4">
        <f>IF(OR(E8="",H8=""),"",H8-E8)</f>
        <v/>
      </c>
      <c r="L8" s="4">
        <f>IF(OR(F8="",I8=""),"",I8-F8)</f>
        <v/>
      </c>
      <c r="M8" s="3" t="n">
        <v>0.52</v>
      </c>
      <c r="N8" s="3" t="n">
        <v>0.8</v>
      </c>
      <c r="O8" s="3" t="n">
        <v>0.28</v>
      </c>
      <c r="P8" s="3" t="n">
        <v>18.26</v>
      </c>
      <c r="Q8" s="3" t="n">
        <v>27.8</v>
      </c>
      <c r="R8" s="3" t="n">
        <v>1.34</v>
      </c>
      <c r="S8" s="3">
        <f>IF(OR(Q8="",R8="",Q8=0),"",R8/Q8*100)</f>
        <v/>
      </c>
    </row>
    <row r="9" ht="16" customHeight="1">
      <c r="A9" s="2" t="inlineStr">
        <is>
          <t>1229</t>
        </is>
      </c>
      <c r="B9" s="2" t="inlineStr">
        <is>
          <t>聯華</t>
        </is>
      </c>
      <c r="C9" s="2" t="inlineStr">
        <is>
          <t>食品工業</t>
        </is>
      </c>
      <c r="D9" s="3" t="n">
        <v>23.32</v>
      </c>
      <c r="E9" s="3" t="n">
        <v>9.65</v>
      </c>
      <c r="F9" s="3" t="n">
        <v>41.63</v>
      </c>
      <c r="G9" s="3" t="n">
        <v>19.31</v>
      </c>
      <c r="H9" s="3" t="n">
        <v>5.88</v>
      </c>
      <c r="I9" s="3" t="n">
        <v>47.81</v>
      </c>
      <c r="J9" s="4">
        <f>IF(OR(D9="",G9=""),"",G9-D9)</f>
        <v/>
      </c>
      <c r="K9" s="4">
        <f>IF(OR(E9="",H9=""),"",H9-E9)</f>
        <v/>
      </c>
      <c r="L9" s="4">
        <f>IF(OR(F9="",I9=""),"",I9-F9)</f>
        <v/>
      </c>
      <c r="M9" s="3" t="n">
        <v>0.55</v>
      </c>
      <c r="N9" s="3" t="n">
        <v>1.18</v>
      </c>
      <c r="O9" s="3" t="n">
        <v>0.63</v>
      </c>
      <c r="P9" s="3" t="n">
        <v>16.39</v>
      </c>
      <c r="Q9" s="3" t="n">
        <v>39.65</v>
      </c>
      <c r="R9" s="3" t="n">
        <v>1.8</v>
      </c>
      <c r="S9" s="3">
        <f>IF(OR(Q9="",R9="",Q9=0),"",R9/Q9*100)</f>
        <v/>
      </c>
    </row>
    <row r="10" ht="16" customHeight="1">
      <c r="A10" s="2" t="inlineStr">
        <is>
          <t>1231</t>
        </is>
      </c>
      <c r="B10" s="2" t="inlineStr">
        <is>
          <t>聯華食</t>
        </is>
      </c>
      <c r="C10" s="2" t="inlineStr">
        <is>
          <t>食品</t>
        </is>
      </c>
      <c r="D10" s="3" t="n">
        <v>21.66</v>
      </c>
      <c r="E10" s="3" t="n">
        <v>9.51</v>
      </c>
      <c r="F10" s="3" t="n">
        <v>8.869999999999999</v>
      </c>
      <c r="G10" s="3" t="n">
        <v>18.35</v>
      </c>
      <c r="H10" s="3" t="n">
        <v>5.23</v>
      </c>
      <c r="I10" s="3" t="n">
        <v>13.12</v>
      </c>
      <c r="J10" s="4">
        <f>IF(OR(D10="",G10=""),"",G10-D10)</f>
        <v/>
      </c>
      <c r="K10" s="4">
        <f>IF(OR(E10="",H10=""),"",H10-E10)</f>
        <v/>
      </c>
      <c r="L10" s="4">
        <f>IF(OR(F10="",I10=""),"",I10-F10)</f>
        <v/>
      </c>
      <c r="M10" s="3" t="n">
        <v>1</v>
      </c>
      <c r="N10" s="3" t="n">
        <v>2.31</v>
      </c>
      <c r="O10" s="3" t="n">
        <v>1.31</v>
      </c>
      <c r="P10" s="3" t="n">
        <v>18.27</v>
      </c>
      <c r="Q10" s="3" t="n">
        <v>73.8</v>
      </c>
      <c r="R10" s="3" t="n">
        <v>1.5</v>
      </c>
      <c r="S10" s="3">
        <f>IF(OR(Q10="",R10="",Q10=0),"",R10/Q10*100)</f>
        <v/>
      </c>
    </row>
    <row r="11" ht="16" customHeight="1">
      <c r="A11" s="2" t="inlineStr">
        <is>
          <t>1232</t>
        </is>
      </c>
      <c r="B11" s="2" t="inlineStr">
        <is>
          <t>大統益</t>
        </is>
      </c>
      <c r="C11" s="2" t="inlineStr">
        <is>
          <t>食品</t>
        </is>
      </c>
      <c r="D11" s="3" t="n">
        <v>13.7</v>
      </c>
      <c r="E11" s="3" t="n">
        <v>8.15</v>
      </c>
      <c r="F11" s="3" t="n">
        <v>6.61</v>
      </c>
      <c r="G11" s="3" t="n">
        <v>14</v>
      </c>
      <c r="H11" s="3" t="n">
        <v>8.59</v>
      </c>
      <c r="I11" s="3" t="n">
        <v>7.17</v>
      </c>
      <c r="J11" s="4">
        <f>IF(OR(D11="",G11=""),"",G11-D11)</f>
        <v/>
      </c>
      <c r="K11" s="4">
        <f>IF(OR(E11="",H11=""),"",H11-E11)</f>
        <v/>
      </c>
      <c r="L11" s="4">
        <f>IF(OR(F11="",I11=""),"",I11-F11)</f>
        <v/>
      </c>
      <c r="M11" s="3" t="n">
        <v>2.33</v>
      </c>
      <c r="N11" s="3" t="n">
        <v>4.71</v>
      </c>
      <c r="O11" s="3" t="n">
        <v>2.38</v>
      </c>
      <c r="P11" s="3" t="n">
        <v>17.5</v>
      </c>
      <c r="Q11" s="3" t="n">
        <v>157.5</v>
      </c>
      <c r="R11" s="3" t="n">
        <v>7.2</v>
      </c>
      <c r="S11" s="3">
        <f>IF(OR(Q11="",R11="",Q11=0),"",R11/Q11*100)</f>
        <v/>
      </c>
    </row>
    <row r="12" ht="16" customHeight="1">
      <c r="A12" s="2" t="inlineStr">
        <is>
          <t>1301</t>
        </is>
      </c>
      <c r="B12" s="2" t="inlineStr">
        <is>
          <t>台塑</t>
        </is>
      </c>
      <c r="C12" s="2" t="inlineStr">
        <is>
          <t>塑膠工業</t>
        </is>
      </c>
      <c r="D12" s="3" t="n">
        <v>3.7</v>
      </c>
      <c r="E12" s="3" t="n">
        <v>-3.1</v>
      </c>
      <c r="F12" s="3" t="n">
        <v>7.79</v>
      </c>
      <c r="G12" s="3" t="n">
        <v>12.65</v>
      </c>
      <c r="H12" s="3" t="n">
        <v>6.1</v>
      </c>
      <c r="I12" s="3" t="n">
        <v>22.54</v>
      </c>
      <c r="J12" s="4">
        <f>IF(OR(D12="",G12=""),"",G12-D12)</f>
        <v/>
      </c>
      <c r="K12" s="4">
        <f>IF(OR(E12="",H12=""),"",H12-E12)</f>
        <v/>
      </c>
      <c r="L12" s="4">
        <f>IF(OR(F12="",I12=""),"",I12-F12)</f>
        <v/>
      </c>
      <c r="M12" s="3" t="n">
        <v>0.51</v>
      </c>
      <c r="N12" s="3" t="n">
        <v>2.17</v>
      </c>
      <c r="O12" s="3" t="n">
        <v>1.66</v>
      </c>
      <c r="P12" s="3" t="n">
        <v>35.24</v>
      </c>
      <c r="Q12" s="3" t="n">
        <v>72.5</v>
      </c>
      <c r="R12" s="3" t="n">
        <v>0.5</v>
      </c>
      <c r="S12" s="3">
        <f>IF(OR(Q12="",R12="",Q12=0),"",R12/Q12*100)</f>
        <v/>
      </c>
    </row>
    <row r="13" ht="16" customHeight="1">
      <c r="A13" s="2" t="inlineStr">
        <is>
          <t>1303</t>
        </is>
      </c>
      <c r="B13" s="2" t="inlineStr">
        <is>
          <t>南亞</t>
        </is>
      </c>
      <c r="C13" s="2" t="inlineStr">
        <is>
          <t>塑膠工業</t>
        </is>
      </c>
      <c r="D13" s="3" t="n">
        <v>11.94</v>
      </c>
      <c r="E13" s="3" t="n">
        <v>5.45</v>
      </c>
      <c r="F13" s="3" t="n">
        <v>21.39</v>
      </c>
      <c r="G13" s="3" t="n">
        <v>18.89</v>
      </c>
      <c r="H13" s="3" t="n">
        <v>13.58</v>
      </c>
      <c r="I13" s="3" t="n">
        <v>32.95</v>
      </c>
      <c r="J13" s="4">
        <f>IF(OR(D13="",G13=""),"",G13-D13)</f>
        <v/>
      </c>
      <c r="K13" s="4">
        <f>IF(OR(E13="",H13=""),"",H13-E13)</f>
        <v/>
      </c>
      <c r="L13" s="4">
        <f>IF(OR(F13="",I13=""),"",I13-F13)</f>
        <v/>
      </c>
      <c r="M13" s="3" t="n">
        <v>1.8</v>
      </c>
      <c r="N13" s="3" t="n">
        <v>5.18</v>
      </c>
      <c r="O13" s="3" t="n">
        <v>3.38</v>
      </c>
      <c r="P13" s="3" t="n">
        <v>30</v>
      </c>
      <c r="Q13" s="3" t="n">
        <v>296</v>
      </c>
      <c r="R13" s="3" t="n">
        <v>0.8</v>
      </c>
      <c r="S13" s="3">
        <f>IF(OR(Q13="",R13="",Q13=0),"",R13/Q13*100)</f>
        <v/>
      </c>
    </row>
    <row r="14" ht="16" customHeight="1">
      <c r="A14" s="2" t="inlineStr">
        <is>
          <t>1304</t>
        </is>
      </c>
      <c r="B14" s="2" t="inlineStr">
        <is>
          <t>台聚</t>
        </is>
      </c>
      <c r="C14" s="2" t="inlineStr">
        <is>
          <t>塑膠</t>
        </is>
      </c>
      <c r="D14" s="3" t="n">
        <v>2.86</v>
      </c>
      <c r="E14" s="3" t="n">
        <v>-5.85</v>
      </c>
      <c r="F14" s="3" t="n">
        <v>-9.039999999999999</v>
      </c>
      <c r="G14" s="3" t="n">
        <v>13.75</v>
      </c>
      <c r="H14" s="3" t="n">
        <v>3.6</v>
      </c>
      <c r="I14" s="3" t="n">
        <v>-5.08</v>
      </c>
      <c r="J14" s="4">
        <f>IF(OR(D14="",G14=""),"",G14-D14)</f>
        <v/>
      </c>
      <c r="K14" s="4">
        <f>IF(OR(E14="",H14=""),"",H14-E14)</f>
        <v/>
      </c>
      <c r="L14" s="4">
        <f>IF(OR(F14="",I14=""),"",I14-F14)</f>
        <v/>
      </c>
      <c r="M14" s="3" t="n">
        <v>-0.41</v>
      </c>
      <c r="N14" s="3" t="n">
        <v>-0.58</v>
      </c>
      <c r="O14" s="3" t="n">
        <v>-0.17</v>
      </c>
      <c r="P14" s="3" t="n"/>
      <c r="Q14" s="3" t="n">
        <v>12.2</v>
      </c>
      <c r="R14" s="3" t="n"/>
      <c r="S14" s="3">
        <f>IF(OR(Q14="",R14="",Q14=0),"",R14/Q14*100)</f>
        <v/>
      </c>
    </row>
    <row r="15" ht="16" customHeight="1">
      <c r="A15" s="2" t="inlineStr">
        <is>
          <t>1313</t>
        </is>
      </c>
      <c r="B15" s="2" t="inlineStr">
        <is>
          <t>聯成</t>
        </is>
      </c>
      <c r="C15" s="2" t="inlineStr">
        <is>
          <t>塑膠</t>
        </is>
      </c>
      <c r="D15" s="3" t="n">
        <v>6.21</v>
      </c>
      <c r="E15" s="3" t="n">
        <v>1.35</v>
      </c>
      <c r="F15" s="3" t="n">
        <v>0.71</v>
      </c>
      <c r="G15" s="3" t="n">
        <v>6.78</v>
      </c>
      <c r="H15" s="3" t="n">
        <v>2.6</v>
      </c>
      <c r="I15" s="3" t="n">
        <v>1.88</v>
      </c>
      <c r="J15" s="4">
        <f>IF(OR(D15="",G15=""),"",G15-D15)</f>
        <v/>
      </c>
      <c r="K15" s="4">
        <f>IF(OR(E15="",H15=""),"",H15-E15)</f>
        <v/>
      </c>
      <c r="L15" s="4">
        <f>IF(OR(F15="",I15=""),"",I15-F15)</f>
        <v/>
      </c>
      <c r="M15" s="3" t="n">
        <v>0.08</v>
      </c>
      <c r="N15" s="3" t="n">
        <v>0.31</v>
      </c>
      <c r="O15" s="3" t="n">
        <v>0.23</v>
      </c>
      <c r="P15" s="3" t="n"/>
      <c r="Q15" s="3" t="n">
        <v>11.8</v>
      </c>
      <c r="R15" s="3" t="n"/>
      <c r="S15" s="3">
        <f>IF(OR(Q15="",R15="",Q15=0),"",R15/Q15*100)</f>
        <v/>
      </c>
    </row>
    <row r="16" ht="16" customHeight="1">
      <c r="A16" s="2" t="inlineStr">
        <is>
          <t>1314</t>
        </is>
      </c>
      <c r="B16" s="2" t="inlineStr">
        <is>
          <t>中石化</t>
        </is>
      </c>
      <c r="C16" s="2" t="inlineStr">
        <is>
          <t>塑膠工業</t>
        </is>
      </c>
      <c r="D16" s="3" t="n">
        <v>-4.47</v>
      </c>
      <c r="E16" s="3" t="n">
        <v>-8.42</v>
      </c>
      <c r="F16" s="3" t="n">
        <v>-4.79</v>
      </c>
      <c r="G16" s="3" t="n">
        <v>5.19</v>
      </c>
      <c r="H16" s="3" t="n">
        <v>-2.87</v>
      </c>
      <c r="I16" s="3" t="n">
        <v>-44.42</v>
      </c>
      <c r="J16" s="4">
        <f>IF(OR(D16="",G16=""),"",G16-D16)</f>
        <v/>
      </c>
      <c r="K16" s="4">
        <f>IF(OR(E16="",H16=""),"",H16-E16)</f>
        <v/>
      </c>
      <c r="L16" s="4">
        <f>IF(OR(F16="",I16=""),"",I16-F16)</f>
        <v/>
      </c>
      <c r="M16" s="3" t="n">
        <v>-0.07000000000000001</v>
      </c>
      <c r="N16" s="3" t="n">
        <v>-0.52</v>
      </c>
      <c r="O16" s="3" t="n">
        <v>-0.45</v>
      </c>
      <c r="P16" s="3" t="n"/>
      <c r="Q16" s="3" t="n">
        <v>8.06</v>
      </c>
      <c r="R16" s="3" t="n"/>
      <c r="S16" s="3">
        <f>IF(OR(Q16="",R16="",Q16=0),"",R16/Q16*100)</f>
        <v/>
      </c>
    </row>
    <row r="17" ht="16" customHeight="1">
      <c r="A17" s="2" t="inlineStr">
        <is>
          <t>1319</t>
        </is>
      </c>
      <c r="B17" s="2" t="inlineStr">
        <is>
          <t>東陽</t>
        </is>
      </c>
      <c r="C17" s="2" t="inlineStr">
        <is>
          <t>汽車工業</t>
        </is>
      </c>
      <c r="D17" s="3" t="n">
        <v>32.51</v>
      </c>
      <c r="E17" s="3" t="n">
        <v>15.76</v>
      </c>
      <c r="F17" s="3" t="n">
        <v>16.73</v>
      </c>
      <c r="G17" s="3" t="n">
        <v>32.53</v>
      </c>
      <c r="H17" s="3" t="n">
        <v>15.76</v>
      </c>
      <c r="I17" s="3" t="n">
        <v>14.2</v>
      </c>
      <c r="J17" s="4">
        <f>IF(OR(D17="",G17=""),"",G17-D17)</f>
        <v/>
      </c>
      <c r="K17" s="4">
        <f>IF(OR(E17="",H17=""),"",H17-E17)</f>
        <v/>
      </c>
      <c r="L17" s="4">
        <f>IF(OR(F17="",I17=""),"",I17-F17)</f>
        <v/>
      </c>
      <c r="M17" s="3" t="n">
        <v>1.62</v>
      </c>
      <c r="N17" s="3" t="n">
        <v>3</v>
      </c>
      <c r="O17" s="3" t="n">
        <v>1.38</v>
      </c>
      <c r="P17" s="3" t="n">
        <v>13.47</v>
      </c>
      <c r="Q17" s="3" t="n">
        <v>77.7</v>
      </c>
      <c r="R17" s="3" t="n">
        <v>5</v>
      </c>
      <c r="S17" s="3">
        <f>IF(OR(Q17="",R17="",Q17=0),"",R17/Q17*100)</f>
        <v/>
      </c>
    </row>
    <row r="18" ht="16" customHeight="1">
      <c r="A18" s="2" t="inlineStr">
        <is>
          <t>1326</t>
        </is>
      </c>
      <c r="B18" s="2" t="inlineStr">
        <is>
          <t>台化</t>
        </is>
      </c>
      <c r="C18" s="2" t="inlineStr">
        <is>
          <t>塑膠工業</t>
        </is>
      </c>
      <c r="D18" s="3" t="n">
        <v>7.74</v>
      </c>
      <c r="E18" s="3" t="n">
        <v>3.82</v>
      </c>
      <c r="F18" s="3" t="n">
        <v>7.99</v>
      </c>
      <c r="G18" s="3" t="n">
        <v>6.34</v>
      </c>
      <c r="H18" s="3" t="n">
        <v>2.21</v>
      </c>
      <c r="I18" s="3" t="n">
        <v>7.48</v>
      </c>
      <c r="J18" s="4">
        <f>IF(OR(D18="",G18=""),"",G18-D18)</f>
        <v/>
      </c>
      <c r="K18" s="4">
        <f>IF(OR(E18="",H18=""),"",H18-E18)</f>
        <v/>
      </c>
      <c r="L18" s="4">
        <f>IF(OR(F18="",I18=""),"",I18-F18)</f>
        <v/>
      </c>
      <c r="M18" s="3" t="n">
        <v>1.07</v>
      </c>
      <c r="N18" s="3" t="n">
        <v>2.14</v>
      </c>
      <c r="O18" s="3" t="n">
        <v>1.07</v>
      </c>
      <c r="P18" s="3" t="n">
        <v>24.75</v>
      </c>
      <c r="Q18" s="3" t="n">
        <v>72.5</v>
      </c>
      <c r="R18" s="3" t="n">
        <v>0.6</v>
      </c>
      <c r="S18" s="3">
        <f>IF(OR(Q18="",R18="",Q18=0),"",R18/Q18*100)</f>
        <v/>
      </c>
    </row>
    <row r="19" ht="16" customHeight="1">
      <c r="A19" s="2" t="inlineStr">
        <is>
          <t>1402</t>
        </is>
      </c>
      <c r="B19" s="2" t="inlineStr">
        <is>
          <t>遠東新</t>
        </is>
      </c>
      <c r="C19" s="2" t="inlineStr">
        <is>
          <t>紡織纖維</t>
        </is>
      </c>
      <c r="D19" s="3" t="n">
        <v>21.9</v>
      </c>
      <c r="E19" s="3" t="n">
        <v>7.99</v>
      </c>
      <c r="F19" s="3" t="n">
        <v>9.06</v>
      </c>
      <c r="G19" s="3" t="n">
        <v>19.83</v>
      </c>
      <c r="H19" s="3" t="n">
        <v>7.54</v>
      </c>
      <c r="I19" s="3" t="n">
        <v>7.78</v>
      </c>
      <c r="J19" s="4">
        <f>IF(OR(D19="",G19=""),"",G19-D19)</f>
        <v/>
      </c>
      <c r="K19" s="4">
        <f>IF(OR(E19="",H19=""),"",H19-E19)</f>
        <v/>
      </c>
      <c r="L19" s="4">
        <f>IF(OR(F19="",I19=""),"",I19-F19)</f>
        <v/>
      </c>
      <c r="M19" s="3" t="n">
        <v>0.61</v>
      </c>
      <c r="N19" s="3" t="n">
        <v>1.2</v>
      </c>
      <c r="O19" s="3" t="n">
        <v>0.59</v>
      </c>
      <c r="P19" s="3" t="n"/>
      <c r="Q19" s="3" t="n">
        <v>28.25</v>
      </c>
      <c r="R19" s="3" t="n">
        <v>1.25</v>
      </c>
      <c r="S19" s="3">
        <f>IF(OR(Q19="",R19="",Q19=0),"",R19/Q19*100)</f>
        <v/>
      </c>
    </row>
    <row r="20" ht="16" customHeight="1">
      <c r="A20" s="2" t="inlineStr">
        <is>
          <t>1409</t>
        </is>
      </c>
      <c r="B20" s="2" t="inlineStr">
        <is>
          <t>新纖</t>
        </is>
      </c>
      <c r="C20" s="2" t="inlineStr">
        <is>
          <t>紡織</t>
        </is>
      </c>
      <c r="D20" s="3" t="n">
        <v>23.19</v>
      </c>
      <c r="E20" s="3" t="n">
        <v>10.96</v>
      </c>
      <c r="F20" s="3" t="n">
        <v>8.869999999999999</v>
      </c>
      <c r="G20" s="3" t="n">
        <v>28.33</v>
      </c>
      <c r="H20" s="3" t="n">
        <v>17</v>
      </c>
      <c r="I20" s="3" t="n">
        <v>13.37</v>
      </c>
      <c r="J20" s="4">
        <f>IF(OR(D20="",G20=""),"",G20-D20)</f>
        <v/>
      </c>
      <c r="K20" s="4">
        <f>IF(OR(E20="",H20=""),"",H20-E20)</f>
        <v/>
      </c>
      <c r="L20" s="4">
        <f>IF(OR(F20="",I20=""),"",I20-F20)</f>
        <v/>
      </c>
      <c r="M20" s="3" t="n">
        <v>0.39</v>
      </c>
      <c r="N20" s="3" t="n">
        <v>1.18</v>
      </c>
      <c r="O20" s="3" t="n">
        <v>0.79</v>
      </c>
      <c r="P20" s="3" t="n">
        <v>11.48</v>
      </c>
      <c r="Q20" s="3" t="n">
        <v>23.75</v>
      </c>
      <c r="R20" s="3" t="n">
        <v>0.9</v>
      </c>
      <c r="S20" s="3">
        <f>IF(OR(Q20="",R20="",Q20=0),"",R20/Q20*100)</f>
        <v/>
      </c>
    </row>
    <row r="21" ht="16" customHeight="1">
      <c r="A21" s="2" t="inlineStr">
        <is>
          <t>1419</t>
        </is>
      </c>
      <c r="B21" s="2" t="inlineStr">
        <is>
          <t>新紡</t>
        </is>
      </c>
      <c r="C21" s="2" t="inlineStr">
        <is>
          <t>紡織</t>
        </is>
      </c>
      <c r="D21" s="3" t="n">
        <v>25.85</v>
      </c>
      <c r="E21" s="3" t="n">
        <v>10.51</v>
      </c>
      <c r="F21" s="3" t="n">
        <v>192.99</v>
      </c>
      <c r="G21" s="3" t="n">
        <v>25.88</v>
      </c>
      <c r="H21" s="3" t="n">
        <v>7.24</v>
      </c>
      <c r="I21" s="3" t="n">
        <v>49.29</v>
      </c>
      <c r="J21" s="4">
        <f>IF(OR(D21="",G21=""),"",G21-D21)</f>
        <v/>
      </c>
      <c r="K21" s="4">
        <f>IF(OR(E21="",H21=""),"",H21-E21)</f>
        <v/>
      </c>
      <c r="L21" s="4">
        <f>IF(OR(F21="",I21=""),"",I21-F21)</f>
        <v/>
      </c>
      <c r="M21" s="3" t="n">
        <v>9.369999999999999</v>
      </c>
      <c r="N21" s="3" t="n">
        <v>11.2</v>
      </c>
      <c r="O21" s="3" t="n">
        <v>1.83</v>
      </c>
      <c r="P21" s="3" t="n">
        <v>4.81</v>
      </c>
      <c r="Q21" s="3" t="n">
        <v>64.40000000000001</v>
      </c>
      <c r="R21" s="3" t="n">
        <v>1.8</v>
      </c>
      <c r="S21" s="3">
        <f>IF(OR(Q21="",R21="",Q21=0),"",R21/Q21*100)</f>
        <v/>
      </c>
    </row>
    <row r="22" ht="16" customHeight="1">
      <c r="A22" s="2" t="inlineStr">
        <is>
          <t>1434</t>
        </is>
      </c>
      <c r="B22" s="2" t="inlineStr">
        <is>
          <t>福懋</t>
        </is>
      </c>
      <c r="C22" s="2" t="inlineStr">
        <is>
          <t>紡織</t>
        </is>
      </c>
      <c r="D22" s="3" t="n">
        <v>11.17</v>
      </c>
      <c r="E22" s="3" t="n">
        <v>2.85</v>
      </c>
      <c r="F22" s="3" t="n">
        <v>4.82</v>
      </c>
      <c r="G22" s="3" t="n">
        <v>10.95</v>
      </c>
      <c r="H22" s="3" t="n">
        <v>1.98</v>
      </c>
      <c r="I22" s="3" t="n">
        <v>6.97</v>
      </c>
      <c r="J22" s="4">
        <f>IF(OR(D22="",G22=""),"",G22-D22)</f>
        <v/>
      </c>
      <c r="K22" s="4">
        <f>IF(OR(E22="",H22=""),"",H22-E22)</f>
        <v/>
      </c>
      <c r="L22" s="4">
        <f>IF(OR(F22="",I22=""),"",I22-F22)</f>
        <v/>
      </c>
      <c r="M22" s="3" t="n">
        <v>0.2</v>
      </c>
      <c r="N22" s="3" t="n">
        <v>0.5</v>
      </c>
      <c r="O22" s="3" t="n">
        <v>0.3</v>
      </c>
      <c r="P22" s="3" t="n">
        <v>19.02</v>
      </c>
      <c r="Q22" s="3" t="n">
        <v>18.8</v>
      </c>
      <c r="R22" s="3" t="n">
        <v>0.5</v>
      </c>
      <c r="S22" s="3">
        <f>IF(OR(Q22="",R22="",Q22=0),"",R22/Q22*100)</f>
        <v/>
      </c>
    </row>
    <row r="23" ht="16" customHeight="1">
      <c r="A23" s="2" t="inlineStr">
        <is>
          <t>1440</t>
        </is>
      </c>
      <c r="B23" s="2" t="inlineStr">
        <is>
          <t>南紡</t>
        </is>
      </c>
      <c r="C23" s="2" t="inlineStr">
        <is>
          <t>紡織纖維</t>
        </is>
      </c>
      <c r="D23" s="3" t="n">
        <v>8.73</v>
      </c>
      <c r="E23" s="3" t="n">
        <v>-3.84</v>
      </c>
      <c r="F23" s="3" t="n">
        <v>-2.18</v>
      </c>
      <c r="G23" s="3" t="n">
        <v>12.82</v>
      </c>
      <c r="H23" s="3" t="n">
        <v>0.58</v>
      </c>
      <c r="I23" s="3" t="n">
        <v>9.59</v>
      </c>
      <c r="J23" s="4">
        <f>IF(OR(D23="",G23=""),"",G23-D23)</f>
        <v/>
      </c>
      <c r="K23" s="4">
        <f>IF(OR(E23="",H23=""),"",H23-E23)</f>
        <v/>
      </c>
      <c r="L23" s="4">
        <f>IF(OR(F23="",I23=""),"",I23-F23)</f>
        <v/>
      </c>
      <c r="M23" s="3" t="n">
        <v>-0.05</v>
      </c>
      <c r="N23" s="3" t="n">
        <v>0.13</v>
      </c>
      <c r="O23" s="3" t="n">
        <v>0.18</v>
      </c>
      <c r="P23" s="3" t="n">
        <v>466.67</v>
      </c>
      <c r="Q23" s="3" t="n">
        <v>13.85</v>
      </c>
      <c r="R23" s="3" t="n">
        <v>0.3</v>
      </c>
      <c r="S23" s="3">
        <f>IF(OR(Q23="",R23="",Q23=0),"",R23/Q23*100)</f>
        <v/>
      </c>
    </row>
    <row r="24" ht="16" customHeight="1">
      <c r="A24" s="2" t="inlineStr">
        <is>
          <t>1476</t>
        </is>
      </c>
      <c r="B24" s="2" t="inlineStr">
        <is>
          <t>儒鴻</t>
        </is>
      </c>
      <c r="C24" s="2" t="inlineStr">
        <is>
          <t>紡織纖維</t>
        </is>
      </c>
      <c r="D24" s="3" t="n">
        <v>32.17</v>
      </c>
      <c r="E24" s="3" t="n">
        <v>22.81</v>
      </c>
      <c r="F24" s="3" t="n">
        <v>19.07</v>
      </c>
      <c r="G24" s="3" t="n">
        <v>30</v>
      </c>
      <c r="H24" s="3" t="n">
        <v>19.19</v>
      </c>
      <c r="I24" s="3" t="n">
        <v>15.4</v>
      </c>
      <c r="J24" s="4">
        <f>IF(OR(D24="",G24=""),"",G24-D24)</f>
        <v/>
      </c>
      <c r="K24" s="4">
        <f>IF(OR(E24="",H24=""),"",H24-E24)</f>
        <v/>
      </c>
      <c r="L24" s="4">
        <f>IF(OR(F24="",I24=""),"",I24-F24)</f>
        <v/>
      </c>
      <c r="M24" s="3" t="n">
        <v>6.69</v>
      </c>
      <c r="N24" s="3" t="n">
        <v>12.35</v>
      </c>
      <c r="O24" s="3" t="n">
        <v>5.66</v>
      </c>
      <c r="P24" s="3" t="n">
        <v>13.34</v>
      </c>
      <c r="Q24" s="3" t="n">
        <v>320.5</v>
      </c>
      <c r="R24" s="3" t="n">
        <v>15</v>
      </c>
      <c r="S24" s="3">
        <f>IF(OR(Q24="",R24="",Q24=0),"",R24/Q24*100)</f>
        <v/>
      </c>
    </row>
    <row r="25" ht="16" customHeight="1">
      <c r="A25" s="2" t="inlineStr">
        <is>
          <t>1477</t>
        </is>
      </c>
      <c r="B25" s="2" t="inlineStr">
        <is>
          <t>聚陽</t>
        </is>
      </c>
      <c r="C25" s="2" t="inlineStr">
        <is>
          <t>紡織纖維</t>
        </is>
      </c>
      <c r="D25" s="3" t="n">
        <v>26.14</v>
      </c>
      <c r="E25" s="3" t="n">
        <v>15.48</v>
      </c>
      <c r="F25" s="3" t="n">
        <v>12.11</v>
      </c>
      <c r="G25" s="3" t="n">
        <v>24.36</v>
      </c>
      <c r="H25" s="3" t="n">
        <v>13.31</v>
      </c>
      <c r="I25" s="3" t="n">
        <v>10.23</v>
      </c>
      <c r="J25" s="4">
        <f>IF(OR(D25="",G25=""),"",G25-D25)</f>
        <v/>
      </c>
      <c r="K25" s="4">
        <f>IF(OR(E25="",H25=""),"",H25-E25)</f>
        <v/>
      </c>
      <c r="L25" s="4">
        <f>IF(OR(F25="",I25=""),"",I25-F25)</f>
        <v/>
      </c>
      <c r="M25" s="3" t="n">
        <v>4.35</v>
      </c>
      <c r="N25" s="3" t="n">
        <v>7.72</v>
      </c>
      <c r="O25" s="3" t="n">
        <v>3.37</v>
      </c>
      <c r="P25" s="3" t="n">
        <v>14.88</v>
      </c>
      <c r="Q25" s="3" t="n">
        <v>206.5</v>
      </c>
      <c r="R25" s="3" t="n">
        <v>15</v>
      </c>
      <c r="S25" s="3">
        <f>IF(OR(Q25="",R25="",Q25=0),"",R25/Q25*100)</f>
        <v/>
      </c>
    </row>
    <row r="26" ht="16" customHeight="1">
      <c r="A26" s="2" t="inlineStr">
        <is>
          <t>1503</t>
        </is>
      </c>
      <c r="B26" s="2" t="inlineStr">
        <is>
          <t>士電</t>
        </is>
      </c>
      <c r="C26" s="2" t="inlineStr">
        <is>
          <t>電機機械</t>
        </is>
      </c>
      <c r="D26" s="3" t="n">
        <v>23.77</v>
      </c>
      <c r="E26" s="3" t="n">
        <v>16.05</v>
      </c>
      <c r="F26" s="3" t="n">
        <v>13.11</v>
      </c>
      <c r="G26" s="3" t="n">
        <v>22.18</v>
      </c>
      <c r="H26" s="3" t="n">
        <v>13.27</v>
      </c>
      <c r="I26" s="3" t="n">
        <v>12.67</v>
      </c>
      <c r="J26" s="4">
        <f>IF(OR(D26="",G26=""),"",G26-D26)</f>
        <v/>
      </c>
      <c r="K26" s="4">
        <f>IF(OR(E26="",H26=""),"",H26-E26)</f>
        <v/>
      </c>
      <c r="L26" s="4">
        <f>IF(OR(F26="",I26=""),"",I26-F26)</f>
        <v/>
      </c>
      <c r="M26" s="3" t="n">
        <v>2.79</v>
      </c>
      <c r="N26" s="3" t="n">
        <v>5.04</v>
      </c>
      <c r="O26" s="3" t="n">
        <v>2.25</v>
      </c>
      <c r="P26" s="3" t="n">
        <v>27.34</v>
      </c>
      <c r="Q26" s="3" t="n">
        <v>185.5</v>
      </c>
      <c r="R26" s="3" t="n">
        <v>5</v>
      </c>
      <c r="S26" s="3">
        <f>IF(OR(Q26="",R26="",Q26=0),"",R26/Q26*100)</f>
        <v/>
      </c>
    </row>
    <row r="27" ht="16" customHeight="1">
      <c r="A27" s="2" t="inlineStr">
        <is>
          <t>1504</t>
        </is>
      </c>
      <c r="B27" s="2" t="inlineStr">
        <is>
          <t>東元</t>
        </is>
      </c>
      <c r="C27" s="2" t="inlineStr">
        <is>
          <t>電機機械</t>
        </is>
      </c>
      <c r="D27" s="3" t="n">
        <v>23.47</v>
      </c>
      <c r="E27" s="3" t="n">
        <v>8.279999999999999</v>
      </c>
      <c r="F27" s="3" t="n">
        <v>8.699999999999999</v>
      </c>
      <c r="G27" s="3" t="n">
        <v>25.14</v>
      </c>
      <c r="H27" s="3" t="n">
        <v>10.53</v>
      </c>
      <c r="I27" s="3" t="n">
        <v>16.33</v>
      </c>
      <c r="J27" s="4">
        <f>IF(OR(D27="",G27=""),"",G27-D27)</f>
        <v/>
      </c>
      <c r="K27" s="4">
        <f>IF(OR(E27="",H27=""),"",H27-E27)</f>
        <v/>
      </c>
      <c r="L27" s="4">
        <f>IF(OR(F27="",I27=""),"",I27-F27)</f>
        <v/>
      </c>
      <c r="M27" s="3" t="n">
        <v>0.51</v>
      </c>
      <c r="N27" s="3" t="n">
        <v>1.63</v>
      </c>
      <c r="O27" s="3" t="n">
        <v>1.12</v>
      </c>
      <c r="P27" s="3" t="n"/>
      <c r="Q27" s="3" t="n">
        <v>69.09999999999999</v>
      </c>
      <c r="R27" s="3" t="n">
        <v>2</v>
      </c>
      <c r="S27" s="3">
        <f>IF(OR(Q27="",R27="",Q27=0),"",R27/Q27*100)</f>
        <v/>
      </c>
    </row>
    <row r="28" ht="16" customHeight="1">
      <c r="A28" s="2" t="inlineStr">
        <is>
          <t>1513</t>
        </is>
      </c>
      <c r="B28" s="2" t="inlineStr">
        <is>
          <t>中興電</t>
        </is>
      </c>
      <c r="C28" s="2" t="inlineStr">
        <is>
          <t>電機機械</t>
        </is>
      </c>
      <c r="D28" s="3" t="n">
        <v>25.98</v>
      </c>
      <c r="E28" s="3" t="n">
        <v>18.54</v>
      </c>
      <c r="F28" s="3" t="n">
        <v>14.79</v>
      </c>
      <c r="G28" s="3" t="n">
        <v>28.44</v>
      </c>
      <c r="H28" s="3" t="n">
        <v>20.05</v>
      </c>
      <c r="I28" s="3" t="n">
        <v>16.91</v>
      </c>
      <c r="J28" s="4">
        <f>IF(OR(D28="",G28=""),"",G28-D28)</f>
        <v/>
      </c>
      <c r="K28" s="4">
        <f>IF(OR(E28="",H28=""),"",H28-E28)</f>
        <v/>
      </c>
      <c r="L28" s="4">
        <f>IF(OR(F28="",I28=""),"",I28-F28)</f>
        <v/>
      </c>
      <c r="M28" s="3" t="n">
        <v>1.94</v>
      </c>
      <c r="N28" s="3" t="n">
        <v>4.51</v>
      </c>
      <c r="O28" s="3" t="n">
        <v>2.57</v>
      </c>
      <c r="P28" s="3" t="n">
        <v>18.67</v>
      </c>
      <c r="Q28" s="3" t="n">
        <v>153</v>
      </c>
      <c r="R28" s="3" t="n">
        <v>6</v>
      </c>
      <c r="S28" s="3">
        <f>IF(OR(Q28="",R28="",Q28=0),"",R28/Q28*100)</f>
        <v/>
      </c>
    </row>
    <row r="29" ht="16" customHeight="1">
      <c r="A29" s="2" t="inlineStr">
        <is>
          <t>1514</t>
        </is>
      </c>
      <c r="B29" s="2" t="inlineStr">
        <is>
          <t>亞力</t>
        </is>
      </c>
      <c r="C29" s="2" t="inlineStr">
        <is>
          <t>電機機械</t>
        </is>
      </c>
      <c r="D29" s="3" t="n">
        <v>17.54</v>
      </c>
      <c r="E29" s="3" t="n">
        <v>8.359999999999999</v>
      </c>
      <c r="F29" s="3" t="n">
        <v>7.93</v>
      </c>
      <c r="G29" s="3" t="n">
        <v>20.81</v>
      </c>
      <c r="H29" s="3" t="n">
        <v>11.16</v>
      </c>
      <c r="I29" s="3" t="n">
        <v>8.949999999999999</v>
      </c>
      <c r="J29" s="4">
        <f>IF(OR(D29="",G29=""),"",G29-D29)</f>
        <v/>
      </c>
      <c r="K29" s="4">
        <f>IF(OR(E29="",H29=""),"",H29-E29)</f>
        <v/>
      </c>
      <c r="L29" s="4">
        <f>IF(OR(F29="",I29=""),"",I29-F29)</f>
        <v/>
      </c>
      <c r="M29" s="3" t="n">
        <v>0.73</v>
      </c>
      <c r="N29" s="3" t="n">
        <v>1.64</v>
      </c>
      <c r="O29" s="3" t="n">
        <v>0.91</v>
      </c>
      <c r="P29" s="3" t="n">
        <v>28.08</v>
      </c>
      <c r="Q29" s="3" t="n">
        <v>93.2</v>
      </c>
      <c r="R29" s="3" t="n">
        <v>2</v>
      </c>
      <c r="S29" s="3">
        <f>IF(OR(Q29="",R29="",Q29=0),"",R29/Q29*100)</f>
        <v/>
      </c>
    </row>
    <row r="30" ht="16" customHeight="1">
      <c r="A30" s="2" t="inlineStr">
        <is>
          <t>1519</t>
        </is>
      </c>
      <c r="B30" s="2" t="inlineStr">
        <is>
          <t>華城</t>
        </is>
      </c>
      <c r="C30" s="2" t="inlineStr">
        <is>
          <t>電機機械</t>
        </is>
      </c>
      <c r="D30" s="3" t="n">
        <v>43.61</v>
      </c>
      <c r="E30" s="3" t="n">
        <v>21.2</v>
      </c>
      <c r="F30" s="3" t="n">
        <v>21.36</v>
      </c>
      <c r="G30" s="3" t="n">
        <v>43.5</v>
      </c>
      <c r="H30" s="3" t="n">
        <v>22.1</v>
      </c>
      <c r="I30" s="3" t="n">
        <v>18.26</v>
      </c>
      <c r="J30" s="4">
        <f>IF(OR(D30="",G30=""),"",G30-D30)</f>
        <v/>
      </c>
      <c r="K30" s="4">
        <f>IF(OR(E30="",H30=""),"",H30-E30)</f>
        <v/>
      </c>
      <c r="L30" s="4">
        <f>IF(OR(F30="",I30=""),"",I30-F30)</f>
        <v/>
      </c>
      <c r="M30" s="3" t="n">
        <v>3.29</v>
      </c>
      <c r="N30" s="3" t="n">
        <v>6.52</v>
      </c>
      <c r="O30" s="3" t="n">
        <v>3.23</v>
      </c>
      <c r="P30" s="3" t="n">
        <v>46.47</v>
      </c>
      <c r="Q30" s="3" t="n">
        <v>551</v>
      </c>
      <c r="R30" s="3" t="n">
        <v>11</v>
      </c>
      <c r="S30" s="3">
        <f>IF(OR(Q30="",R30="",Q30=0),"",R30/Q30*100)</f>
        <v/>
      </c>
    </row>
    <row r="31" ht="16" customHeight="1">
      <c r="A31" s="2" t="inlineStr">
        <is>
          <t>1536</t>
        </is>
      </c>
      <c r="B31" s="2" t="inlineStr">
        <is>
          <t>和大</t>
        </is>
      </c>
      <c r="C31" s="2" t="inlineStr">
        <is>
          <t>汽車</t>
        </is>
      </c>
      <c r="D31" s="3" t="n">
        <v>6.52</v>
      </c>
      <c r="E31" s="3" t="n">
        <v>-13.52</v>
      </c>
      <c r="F31" s="3" t="n">
        <v>-12.43</v>
      </c>
      <c r="G31" s="3" t="n">
        <v>6.87</v>
      </c>
      <c r="H31" s="3" t="n">
        <v>-10.6</v>
      </c>
      <c r="I31" s="3" t="n">
        <v>-14.19</v>
      </c>
      <c r="J31" s="4">
        <f>IF(OR(D31="",G31=""),"",G31-D31)</f>
        <v/>
      </c>
      <c r="K31" s="4">
        <f>IF(OR(E31="",H31=""),"",H31-E31)</f>
        <v/>
      </c>
      <c r="L31" s="4">
        <f>IF(OR(F31="",I31=""),"",I31-F31)</f>
        <v/>
      </c>
      <c r="M31" s="3" t="n">
        <v>-0.52</v>
      </c>
      <c r="N31" s="3" t="n">
        <v>-1.11</v>
      </c>
      <c r="O31" s="3" t="n">
        <v>-0.59</v>
      </c>
      <c r="P31" s="3" t="n"/>
      <c r="Q31" s="3" t="n">
        <v>42.7</v>
      </c>
      <c r="R31" s="3" t="n"/>
      <c r="S31" s="3">
        <f>IF(OR(Q31="",R31="",Q31=0),"",R31/Q31*100)</f>
        <v/>
      </c>
    </row>
    <row r="32" ht="16" customHeight="1">
      <c r="A32" s="2" t="inlineStr">
        <is>
          <t>1560</t>
        </is>
      </c>
      <c r="B32" s="2" t="inlineStr">
        <is>
          <t>中砂</t>
        </is>
      </c>
      <c r="C32" s="2" t="inlineStr">
        <is>
          <t>電機機械</t>
        </is>
      </c>
      <c r="D32" s="3" t="n">
        <v>35</v>
      </c>
      <c r="E32" s="3" t="n">
        <v>19.38</v>
      </c>
      <c r="F32" s="3" t="n">
        <v>19.28</v>
      </c>
      <c r="G32" s="3" t="n">
        <v>40.05</v>
      </c>
      <c r="H32" s="3" t="n">
        <v>24.22</v>
      </c>
      <c r="I32" s="3" t="n">
        <v>21.49</v>
      </c>
      <c r="J32" s="4">
        <f>IF(OR(D32="",G32=""),"",G32-D32)</f>
        <v/>
      </c>
      <c r="K32" s="4">
        <f>IF(OR(E32="",H32=""),"",H32-E32)</f>
        <v/>
      </c>
      <c r="L32" s="4">
        <f>IF(OR(F32="",I32=""),"",I32-F32)</f>
        <v/>
      </c>
      <c r="M32" s="3" t="n">
        <v>2.94</v>
      </c>
      <c r="N32" s="3" t="n">
        <v>6.5</v>
      </c>
      <c r="O32" s="3" t="n">
        <v>3.56</v>
      </c>
      <c r="P32" s="3" t="n"/>
      <c r="Q32" s="3" t="n">
        <v>867</v>
      </c>
      <c r="R32" s="3" t="n">
        <v>3.66</v>
      </c>
      <c r="S32" s="3">
        <f>IF(OR(Q32="",R32="",Q32=0),"",R32/Q32*100)</f>
        <v/>
      </c>
    </row>
    <row r="33" ht="16" customHeight="1">
      <c r="A33" s="2" t="inlineStr">
        <is>
          <t>1563</t>
        </is>
      </c>
      <c r="B33" s="2" t="inlineStr">
        <is>
          <t>巧新</t>
        </is>
      </c>
      <c r="C33" s="2" t="inlineStr">
        <is>
          <t>汽車</t>
        </is>
      </c>
      <c r="D33" s="3" t="n">
        <v>22</v>
      </c>
      <c r="E33" s="3" t="n">
        <v>8.699999999999999</v>
      </c>
      <c r="F33" s="3" t="n">
        <v>7</v>
      </c>
      <c r="G33" s="3" t="n">
        <v>24.3</v>
      </c>
      <c r="H33" s="3" t="n">
        <v>9.800000000000001</v>
      </c>
      <c r="I33" s="3" t="n">
        <v>3.6</v>
      </c>
      <c r="J33" s="4">
        <f>IF(OR(D33="",G33=""),"",G33-D33)</f>
        <v/>
      </c>
      <c r="K33" s="4">
        <f>IF(OR(E33="",H33=""),"",H33-E33)</f>
        <v/>
      </c>
      <c r="L33" s="4">
        <f>IF(OR(F33="",I33=""),"",I33-F33)</f>
        <v/>
      </c>
      <c r="M33" s="3" t="n">
        <v>0.6</v>
      </c>
      <c r="N33" s="3" t="n">
        <v>0.93</v>
      </c>
      <c r="O33" s="3" t="n">
        <v>0.33</v>
      </c>
      <c r="P33" s="3" t="n">
        <v>59.91</v>
      </c>
      <c r="Q33" s="3" t="n">
        <v>74.5</v>
      </c>
      <c r="R33" s="3" t="n">
        <v>2</v>
      </c>
      <c r="S33" s="3">
        <f>IF(OR(Q33="",R33="",Q33=0),"",R33/Q33*100)</f>
        <v/>
      </c>
    </row>
    <row r="34" ht="16" customHeight="1">
      <c r="A34" s="2" t="inlineStr">
        <is>
          <t>1590</t>
        </is>
      </c>
      <c r="B34" s="2" t="inlineStr">
        <is>
          <t>亞德客-KY</t>
        </is>
      </c>
      <c r="C34" s="2" t="inlineStr">
        <is>
          <t>電機機械</t>
        </is>
      </c>
      <c r="D34" s="3" t="n">
        <v>47.97</v>
      </c>
      <c r="E34" s="3" t="n">
        <v>33.2</v>
      </c>
      <c r="F34" s="3" t="n">
        <v>26.67</v>
      </c>
      <c r="G34" s="3" t="n">
        <v>49.72</v>
      </c>
      <c r="H34" s="3" t="n">
        <v>35.06</v>
      </c>
      <c r="I34" s="3" t="n">
        <v>27.22</v>
      </c>
      <c r="J34" s="4">
        <f>IF(OR(D34="",G34=""),"",G34-D34)</f>
        <v/>
      </c>
      <c r="K34" s="4">
        <f>IF(OR(E34="",H34=""),"",H34-E34)</f>
        <v/>
      </c>
      <c r="L34" s="4">
        <f>IF(OR(F34="",I34=""),"",I34-F34)</f>
        <v/>
      </c>
      <c r="M34" s="3" t="n">
        <v>13.35</v>
      </c>
      <c r="N34" s="3" t="n">
        <v>29.91</v>
      </c>
      <c r="O34" s="3" t="n">
        <v>16.55</v>
      </c>
      <c r="P34" s="3" t="n">
        <v>31.09</v>
      </c>
      <c r="Q34" s="3" t="n">
        <v>1075</v>
      </c>
      <c r="R34" s="3" t="n">
        <v>29.11</v>
      </c>
      <c r="S34" s="3">
        <f>IF(OR(Q34="",R34="",Q34=0),"",R34/Q34*100)</f>
        <v/>
      </c>
    </row>
    <row r="35" ht="16" customHeight="1">
      <c r="A35" s="2" t="inlineStr">
        <is>
          <t>1605</t>
        </is>
      </c>
      <c r="B35" s="2" t="inlineStr">
        <is>
          <t>華新</t>
        </is>
      </c>
      <c r="C35" s="2" t="inlineStr">
        <is>
          <t>電器電纜</t>
        </is>
      </c>
      <c r="D35" s="3" t="n">
        <v>7.77</v>
      </c>
      <c r="E35" s="3" t="n">
        <v>1.33</v>
      </c>
      <c r="F35" s="3" t="n">
        <v>8.52</v>
      </c>
      <c r="G35" s="3" t="n">
        <v>7.56</v>
      </c>
      <c r="H35" s="3" t="n">
        <v>1.46</v>
      </c>
      <c r="I35" s="3" t="n">
        <v>18.13</v>
      </c>
      <c r="J35" s="4">
        <f>IF(OR(D35="",G35=""),"",G35-D35)</f>
        <v/>
      </c>
      <c r="K35" s="4">
        <f>IF(OR(E35="",H35=""),"",H35-E35)</f>
        <v/>
      </c>
      <c r="L35" s="4">
        <f>IF(OR(F35="",I35=""),"",I35-F35)</f>
        <v/>
      </c>
      <c r="M35" s="3" t="n">
        <v>0.8100000000000001</v>
      </c>
      <c r="N35" s="3" t="n">
        <v>2.85</v>
      </c>
      <c r="O35" s="3" t="n">
        <v>2.04</v>
      </c>
      <c r="P35" s="3" t="n">
        <v>11.3</v>
      </c>
      <c r="Q35" s="3" t="n">
        <v>35.95</v>
      </c>
      <c r="R35" s="3" t="n">
        <v>0.5</v>
      </c>
      <c r="S35" s="3">
        <f>IF(OR(Q35="",R35="",Q35=0),"",R35/Q35*100)</f>
        <v/>
      </c>
    </row>
    <row r="36" ht="16" customHeight="1">
      <c r="A36" s="2" t="inlineStr">
        <is>
          <t>1608</t>
        </is>
      </c>
      <c r="B36" s="2" t="inlineStr">
        <is>
          <t>華榮</t>
        </is>
      </c>
      <c r="C36" s="2" t="inlineStr">
        <is>
          <t>電器電零</t>
        </is>
      </c>
      <c r="D36" s="3" t="n">
        <v>14.01</v>
      </c>
      <c r="E36" s="3" t="n">
        <v>12.15</v>
      </c>
      <c r="F36" s="3" t="n">
        <v>5.88</v>
      </c>
      <c r="G36" s="3" t="n">
        <v>11.42</v>
      </c>
      <c r="H36" s="3" t="n">
        <v>8.59</v>
      </c>
      <c r="I36" s="3" t="n">
        <v>88.5</v>
      </c>
      <c r="J36" s="4">
        <f>IF(OR(D36="",G36=""),"",G36-D36)</f>
        <v/>
      </c>
      <c r="K36" s="4">
        <f>IF(OR(E36="",H36=""),"",H36-E36)</f>
        <v/>
      </c>
      <c r="L36" s="4">
        <f>IF(OR(F36="",I36=""),"",I36-F36)</f>
        <v/>
      </c>
      <c r="M36" s="3" t="n">
        <v>0.37</v>
      </c>
      <c r="N36" s="3" t="n">
        <v>7.04</v>
      </c>
      <c r="O36" s="3" t="n">
        <v>6.67</v>
      </c>
      <c r="P36" s="3" t="n">
        <v>3.11</v>
      </c>
      <c r="Q36" s="3" t="n">
        <v>33.65</v>
      </c>
      <c r="R36" s="3" t="n">
        <v>2</v>
      </c>
      <c r="S36" s="3">
        <f>IF(OR(Q36="",R36="",Q36=0),"",R36/Q36*100)</f>
        <v/>
      </c>
    </row>
    <row r="37" ht="16" customHeight="1">
      <c r="A37" s="2" t="inlineStr">
        <is>
          <t>1609</t>
        </is>
      </c>
      <c r="B37" s="2" t="inlineStr">
        <is>
          <t>大亞</t>
        </is>
      </c>
      <c r="C37" s="2" t="inlineStr">
        <is>
          <t>電器電纜</t>
        </is>
      </c>
      <c r="D37" s="3" t="n">
        <v>18.85</v>
      </c>
      <c r="E37" s="3" t="n">
        <v>14.08</v>
      </c>
      <c r="F37" s="3" t="n">
        <v>7.24</v>
      </c>
      <c r="G37" s="3" t="n">
        <v>18.54</v>
      </c>
      <c r="H37" s="3" t="n">
        <v>11.94</v>
      </c>
      <c r="I37" s="3" t="n">
        <v>14.33</v>
      </c>
      <c r="J37" s="4">
        <f>IF(OR(D37="",G37=""),"",G37-D37)</f>
        <v/>
      </c>
      <c r="K37" s="4">
        <f>IF(OR(E37="",H37=""),"",H37-E37)</f>
        <v/>
      </c>
      <c r="L37" s="4">
        <f>IF(OR(F37="",I37=""),"",I37-F37)</f>
        <v/>
      </c>
      <c r="M37" s="3" t="n">
        <v>0.66</v>
      </c>
      <c r="N37" s="3" t="n">
        <v>2.24</v>
      </c>
      <c r="O37" s="3" t="n">
        <v>1.58</v>
      </c>
      <c r="P37" s="3" t="n">
        <v>13.67</v>
      </c>
      <c r="Q37" s="3" t="n">
        <v>35.3</v>
      </c>
      <c r="R37" s="3" t="n">
        <v>0.7</v>
      </c>
      <c r="S37" s="3">
        <f>IF(OR(Q37="",R37="",Q37=0),"",R37/Q37*100)</f>
        <v/>
      </c>
    </row>
    <row r="38" ht="16" customHeight="1">
      <c r="A38" s="2" t="inlineStr">
        <is>
          <t>1708</t>
        </is>
      </c>
      <c r="B38" s="2" t="inlineStr">
        <is>
          <t>東鹼</t>
        </is>
      </c>
      <c r="C38" s="2" t="inlineStr">
        <is>
          <t>化學工業</t>
        </is>
      </c>
      <c r="D38" s="3" t="n">
        <v>30.57</v>
      </c>
      <c r="E38" s="3" t="n">
        <v>16.67</v>
      </c>
      <c r="F38" s="3" t="n">
        <v>17.87</v>
      </c>
      <c r="G38" s="3" t="n">
        <v>29</v>
      </c>
      <c r="H38" s="3" t="n">
        <v>16.33</v>
      </c>
      <c r="I38" s="3" t="n">
        <v>12.27</v>
      </c>
      <c r="J38" s="4">
        <f>IF(OR(D38="",G38=""),"",G38-D38)</f>
        <v/>
      </c>
      <c r="K38" s="4">
        <f>IF(OR(E38="",H38=""),"",H38-E38)</f>
        <v/>
      </c>
      <c r="L38" s="4">
        <f>IF(OR(F38="",I38=""),"",I38-F38)</f>
        <v/>
      </c>
      <c r="M38" s="3" t="n">
        <v>1.11</v>
      </c>
      <c r="N38" s="3" t="n">
        <v>1.98</v>
      </c>
      <c r="O38" s="3" t="n">
        <v>0.87</v>
      </c>
      <c r="P38" s="3" t="n">
        <v>12.45</v>
      </c>
      <c r="Q38" s="3" t="n">
        <v>48.85</v>
      </c>
      <c r="R38" s="3" t="n">
        <v>1.6</v>
      </c>
      <c r="S38" s="3">
        <f>IF(OR(Q38="",R38="",Q38=0),"",R38/Q38*100)</f>
        <v/>
      </c>
    </row>
    <row r="39" ht="16" customHeight="1">
      <c r="A39" s="2" t="inlineStr">
        <is>
          <t>1711</t>
        </is>
      </c>
      <c r="B39" s="2" t="inlineStr">
        <is>
          <t>永光</t>
        </is>
      </c>
      <c r="C39" s="2" t="inlineStr">
        <is>
          <t>化學生技醫療</t>
        </is>
      </c>
      <c r="D39" s="3" t="n">
        <v>21.52</v>
      </c>
      <c r="E39" s="3" t="n">
        <v>1.83</v>
      </c>
      <c r="F39" s="3" t="n">
        <v>2.43</v>
      </c>
      <c r="G39" s="3" t="n">
        <v>24.89</v>
      </c>
      <c r="H39" s="3" t="n">
        <v>5.19</v>
      </c>
      <c r="I39" s="3" t="n">
        <v>4.86</v>
      </c>
      <c r="J39" s="4">
        <f>IF(OR(D39="",G39=""),"",G39-D39)</f>
        <v/>
      </c>
      <c r="K39" s="4">
        <f>IF(OR(E39="",H39=""),"",H39-E39)</f>
        <v/>
      </c>
      <c r="L39" s="4">
        <f>IF(OR(F39="",I39=""),"",I39-F39)</f>
        <v/>
      </c>
      <c r="M39" s="3" t="n">
        <v>0.09</v>
      </c>
      <c r="N39" s="3" t="n">
        <v>0.28</v>
      </c>
      <c r="O39" s="3" t="n">
        <v>0.19</v>
      </c>
      <c r="P39" s="3" t="n">
        <v>308.46</v>
      </c>
      <c r="Q39" s="3" t="n">
        <v>39</v>
      </c>
      <c r="R39" s="3" t="n">
        <v>0</v>
      </c>
      <c r="S39" s="3">
        <f>IF(OR(Q39="",R39="",Q39=0),"",R39/Q39*100)</f>
        <v/>
      </c>
    </row>
    <row r="40" ht="16" customHeight="1">
      <c r="A40" s="2" t="inlineStr">
        <is>
          <t>1712</t>
        </is>
      </c>
      <c r="B40" s="2" t="inlineStr">
        <is>
          <t>興農</t>
        </is>
      </c>
      <c r="C40" s="2" t="inlineStr">
        <is>
          <t>化學工業</t>
        </is>
      </c>
      <c r="D40" s="3" t="n">
        <v>30.67</v>
      </c>
      <c r="E40" s="3" t="n">
        <v>7.64</v>
      </c>
      <c r="F40" s="3" t="n">
        <v>5.95</v>
      </c>
      <c r="G40" s="3" t="n">
        <v>32.24</v>
      </c>
      <c r="H40" s="3" t="n">
        <v>8.789999999999999</v>
      </c>
      <c r="I40" s="3" t="n">
        <v>6.93</v>
      </c>
      <c r="J40" s="4">
        <f>IF(OR(D40="",G40=""),"",G40-D40)</f>
        <v/>
      </c>
      <c r="K40" s="4">
        <f>IF(OR(E40="",H40=""),"",H40-E40)</f>
        <v/>
      </c>
      <c r="L40" s="4">
        <f>IF(OR(F40="",I40=""),"",I40-F40)</f>
        <v/>
      </c>
      <c r="M40" s="3" t="n">
        <v>0.67</v>
      </c>
      <c r="N40" s="3" t="n">
        <v>1.55</v>
      </c>
      <c r="O40" s="3" t="n">
        <v>0.88</v>
      </c>
      <c r="P40" s="3" t="n">
        <v>14.68</v>
      </c>
      <c r="Q40" s="3" t="n">
        <v>40.2</v>
      </c>
      <c r="R40" s="3" t="n">
        <v>2.5</v>
      </c>
      <c r="S40" s="3">
        <f>IF(OR(Q40="",R40="",Q40=0),"",R40/Q40*100)</f>
        <v/>
      </c>
    </row>
    <row r="41" ht="16" customHeight="1">
      <c r="A41" s="2" t="inlineStr">
        <is>
          <t>1714</t>
        </is>
      </c>
      <c r="B41" s="2" t="inlineStr">
        <is>
          <t>和桐</t>
        </is>
      </c>
      <c r="C41" s="2" t="inlineStr">
        <is>
          <t>化學工業</t>
        </is>
      </c>
      <c r="D41" s="3" t="n">
        <v>11.24</v>
      </c>
      <c r="E41" s="3" t="n">
        <v>6.87</v>
      </c>
      <c r="F41" s="3" t="n">
        <v>5.66</v>
      </c>
      <c r="G41" s="3" t="n">
        <v>18.72</v>
      </c>
      <c r="H41" s="3" t="n">
        <v>14.83</v>
      </c>
      <c r="I41" s="3" t="n">
        <v>11.51</v>
      </c>
      <c r="J41" s="4">
        <f>IF(OR(D41="",G41=""),"",G41-D41)</f>
        <v/>
      </c>
      <c r="K41" s="4">
        <f>IF(OR(E41="",H41=""),"",H41-E41)</f>
        <v/>
      </c>
      <c r="L41" s="4">
        <f>IF(OR(F41="",I41=""),"",I41-F41)</f>
        <v/>
      </c>
      <c r="M41" s="3" t="n">
        <v>0.23</v>
      </c>
      <c r="N41" s="3" t="n">
        <v>0.89</v>
      </c>
      <c r="O41" s="3" t="n">
        <v>0.66</v>
      </c>
      <c r="P41" s="3" t="n">
        <v>14.41</v>
      </c>
      <c r="Q41" s="3" t="n">
        <v>17.45</v>
      </c>
      <c r="R41" s="3" t="n">
        <v>0.18</v>
      </c>
      <c r="S41" s="3">
        <f>IF(OR(Q41="",R41="",Q41=0),"",R41/Q41*100)</f>
        <v/>
      </c>
    </row>
    <row r="42" ht="16" customHeight="1">
      <c r="A42" s="2" t="inlineStr">
        <is>
          <t>1717</t>
        </is>
      </c>
      <c r="B42" s="2" t="inlineStr">
        <is>
          <t>長興</t>
        </is>
      </c>
      <c r="C42" s="2" t="inlineStr">
        <is>
          <t>化學工業</t>
        </is>
      </c>
      <c r="D42" s="3" t="n">
        <v>22.16</v>
      </c>
      <c r="E42" s="3" t="n">
        <v>5.22</v>
      </c>
      <c r="F42" s="3" t="n">
        <v>4.2</v>
      </c>
      <c r="G42" s="3" t="n">
        <v>24.8</v>
      </c>
      <c r="H42" s="3" t="n">
        <v>8.58</v>
      </c>
      <c r="I42" s="3" t="n">
        <v>7.29</v>
      </c>
      <c r="J42" s="4">
        <f>IF(OR(D42="",G42=""),"",G42-D42)</f>
        <v/>
      </c>
      <c r="K42" s="4">
        <f>IF(OR(E42="",H42=""),"",H42-E42)</f>
        <v/>
      </c>
      <c r="L42" s="4">
        <f>IF(OR(F42="",I42=""),"",I42-F42)</f>
        <v/>
      </c>
      <c r="M42" s="3" t="n">
        <v>0.37</v>
      </c>
      <c r="N42" s="3" t="n">
        <v>1.12</v>
      </c>
      <c r="O42" s="3" t="n">
        <v>0.75</v>
      </c>
      <c r="P42" s="3" t="n">
        <v>36.95</v>
      </c>
      <c r="Q42" s="3" t="n">
        <v>65.59999999999999</v>
      </c>
      <c r="R42" s="3" t="n">
        <v>1</v>
      </c>
      <c r="S42" s="3">
        <f>IF(OR(Q42="",R42="",Q42=0),"",R42/Q42*100)</f>
        <v/>
      </c>
    </row>
    <row r="43" ht="16" customHeight="1">
      <c r="A43" s="2" t="inlineStr">
        <is>
          <t>1718</t>
        </is>
      </c>
      <c r="B43" s="2" t="inlineStr">
        <is>
          <t>中纖</t>
        </is>
      </c>
      <c r="C43" s="2" t="inlineStr">
        <is>
          <t>化學</t>
        </is>
      </c>
      <c r="D43" s="3" t="n">
        <v>42.56</v>
      </c>
      <c r="E43" s="3" t="n">
        <v>18.32</v>
      </c>
      <c r="F43" s="3" t="n">
        <v>19.4</v>
      </c>
      <c r="G43" s="3" t="n">
        <v>43.96</v>
      </c>
      <c r="H43" s="3" t="n">
        <v>17.12</v>
      </c>
      <c r="I43" s="3" t="n">
        <v>22.88</v>
      </c>
      <c r="J43" s="4">
        <f>IF(OR(D43="",G43=""),"",G43-D43)</f>
        <v/>
      </c>
      <c r="K43" s="4">
        <f>IF(OR(E43="",H43=""),"",H43-E43)</f>
        <v/>
      </c>
      <c r="L43" s="4">
        <f>IF(OR(F43="",I43=""),"",I43-F43)</f>
        <v/>
      </c>
      <c r="M43" s="3" t="n">
        <v>0.17</v>
      </c>
      <c r="N43" s="3" t="n">
        <v>0.46</v>
      </c>
      <c r="O43" s="3" t="n">
        <v>0.29</v>
      </c>
      <c r="P43" s="3" t="n">
        <v>18.14</v>
      </c>
      <c r="Q43" s="3" t="n">
        <v>10.55</v>
      </c>
      <c r="R43" s="3" t="n"/>
      <c r="S43" s="3">
        <f>IF(OR(Q43="",R43="",Q43=0),"",R43/Q43*100)</f>
        <v/>
      </c>
    </row>
    <row r="44" ht="16" customHeight="1">
      <c r="A44" s="2" t="inlineStr">
        <is>
          <t>1722</t>
        </is>
      </c>
      <c r="B44" s="2" t="inlineStr">
        <is>
          <t>台肥</t>
        </is>
      </c>
      <c r="C44" s="2" t="inlineStr">
        <is>
          <t>化學工業</t>
        </is>
      </c>
      <c r="D44" s="3" t="n">
        <v>6.99</v>
      </c>
      <c r="E44" s="3" t="n">
        <v>-1.3</v>
      </c>
      <c r="F44" s="3" t="n">
        <v>4.92</v>
      </c>
      <c r="G44" s="3" t="n">
        <v>21.91</v>
      </c>
      <c r="H44" s="3" t="n">
        <v>12.42</v>
      </c>
      <c r="I44" s="3" t="n">
        <v>7.8</v>
      </c>
      <c r="J44" s="4">
        <f>IF(OR(D44="",G44=""),"",G44-D44)</f>
        <v/>
      </c>
      <c r="K44" s="4">
        <f>IF(OR(E44="",H44=""),"",H44-E44)</f>
        <v/>
      </c>
      <c r="L44" s="4">
        <f>IF(OR(F44="",I44=""),"",I44-F44)</f>
        <v/>
      </c>
      <c r="M44" s="3" t="n">
        <v>0.19</v>
      </c>
      <c r="N44" s="3" t="n">
        <v>0.43</v>
      </c>
      <c r="O44" s="3" t="n">
        <v>0.24</v>
      </c>
      <c r="P44" s="3" t="n">
        <v>55.06</v>
      </c>
      <c r="Q44" s="3" t="n">
        <v>41.9</v>
      </c>
      <c r="R44" s="3" t="n">
        <v>2</v>
      </c>
      <c r="S44" s="3">
        <f>IF(OR(Q44="",R44="",Q44=0),"",R44/Q44*100)</f>
        <v/>
      </c>
    </row>
    <row r="45" ht="16" customHeight="1">
      <c r="A45" s="2" t="inlineStr">
        <is>
          <t>1723</t>
        </is>
      </c>
      <c r="B45" s="2" t="inlineStr">
        <is>
          <t>中碳</t>
        </is>
      </c>
      <c r="C45" s="2" t="inlineStr">
        <is>
          <t>化學</t>
        </is>
      </c>
      <c r="D45" s="3" t="n">
        <v>25.02</v>
      </c>
      <c r="E45" s="3" t="n">
        <v>14.18</v>
      </c>
      <c r="F45" s="3" t="n">
        <v>14</v>
      </c>
      <c r="G45" s="3" t="n">
        <v>22.62</v>
      </c>
      <c r="H45" s="3" t="n">
        <v>14.89</v>
      </c>
      <c r="I45" s="3" t="n">
        <v>14.77</v>
      </c>
      <c r="J45" s="4">
        <f>IF(OR(D45="",G45=""),"",G45-D45)</f>
        <v/>
      </c>
      <c r="K45" s="4">
        <f>IF(OR(E45="",H45=""),"",H45-E45)</f>
        <v/>
      </c>
      <c r="L45" s="4">
        <f>IF(OR(F45="",I45=""),"",I45-F45)</f>
        <v/>
      </c>
      <c r="M45" s="3" t="n">
        <v>0.77</v>
      </c>
      <c r="N45" s="3" t="n">
        <v>2.07</v>
      </c>
      <c r="O45" s="3" t="n">
        <v>1.3</v>
      </c>
      <c r="P45" s="3" t="n">
        <v>28.39</v>
      </c>
      <c r="Q45" s="3" t="n">
        <v>79.5</v>
      </c>
      <c r="R45" s="3" t="n">
        <v>1.85</v>
      </c>
      <c r="S45" s="3">
        <f>IF(OR(Q45="",R45="",Q45=0),"",R45/Q45*100)</f>
        <v/>
      </c>
    </row>
    <row r="46" ht="16" customHeight="1">
      <c r="A46" s="2" t="inlineStr">
        <is>
          <t>1736</t>
        </is>
      </c>
      <c r="B46" s="2" t="inlineStr">
        <is>
          <t>喬山</t>
        </is>
      </c>
      <c r="C46" s="2" t="inlineStr">
        <is>
          <t>化學生技醫療</t>
        </is>
      </c>
      <c r="D46" s="3" t="n">
        <v>51.33</v>
      </c>
      <c r="E46" s="3" t="n">
        <v>-0.78</v>
      </c>
      <c r="F46" s="3" t="n">
        <v>0.2</v>
      </c>
      <c r="G46" s="3" t="n">
        <v>62.82</v>
      </c>
      <c r="H46" s="3" t="n">
        <v>14.86</v>
      </c>
      <c r="I46" s="3" t="n">
        <v>7.31</v>
      </c>
      <c r="J46" s="4">
        <f>IF(OR(D46="",G46=""),"",G46-D46)</f>
        <v/>
      </c>
      <c r="K46" s="4">
        <f>IF(OR(E46="",H46=""),"",H46-E46)</f>
        <v/>
      </c>
      <c r="L46" s="4">
        <f>IF(OR(F46="",I46=""),"",I46-F46)</f>
        <v/>
      </c>
      <c r="M46" s="3" t="n">
        <v>0.08</v>
      </c>
      <c r="N46" s="3" t="n">
        <v>3.27</v>
      </c>
      <c r="O46" s="3" t="n">
        <v>3.19</v>
      </c>
      <c r="P46" s="3" t="n">
        <v>11.48</v>
      </c>
      <c r="Q46" s="3" t="n">
        <v>123.5</v>
      </c>
      <c r="R46" s="3" t="n">
        <v>4.5</v>
      </c>
      <c r="S46" s="3">
        <f>IF(OR(Q46="",R46="",Q46=0),"",R46/Q46*100)</f>
        <v/>
      </c>
    </row>
    <row r="47" ht="16" customHeight="1">
      <c r="A47" s="2" t="inlineStr">
        <is>
          <t>1773</t>
        </is>
      </c>
      <c r="B47" s="2" t="inlineStr">
        <is>
          <t>勝一</t>
        </is>
      </c>
      <c r="C47" s="2" t="inlineStr">
        <is>
          <t>化學</t>
        </is>
      </c>
      <c r="D47" s="3" t="n">
        <v>37.55</v>
      </c>
      <c r="E47" s="3" t="n">
        <v>23.35</v>
      </c>
      <c r="F47" s="3" t="n">
        <v>19.9</v>
      </c>
      <c r="G47" s="3" t="n">
        <v>36.67</v>
      </c>
      <c r="H47" s="3" t="n">
        <v>23.54</v>
      </c>
      <c r="I47" s="3" t="n">
        <v>19.65</v>
      </c>
      <c r="J47" s="4">
        <f>IF(OR(D47="",G47=""),"",G47-D47)</f>
        <v/>
      </c>
      <c r="K47" s="4">
        <f>IF(OR(E47="",H47=""),"",H47-E47)</f>
        <v/>
      </c>
      <c r="L47" s="4">
        <f>IF(OR(F47="",I47=""),"",I47-F47)</f>
        <v/>
      </c>
      <c r="M47" s="3" t="n">
        <v>2.02</v>
      </c>
      <c r="N47" s="3" t="n">
        <v>4.38</v>
      </c>
      <c r="O47" s="3" t="n">
        <v>2.36</v>
      </c>
      <c r="P47" s="3" t="n">
        <v>19.89</v>
      </c>
      <c r="Q47" s="3" t="n">
        <v>157.5</v>
      </c>
      <c r="R47" s="3" t="n">
        <v>4</v>
      </c>
      <c r="S47" s="3">
        <f>IF(OR(Q47="",R47="",Q47=0),"",R47/Q47*100)</f>
        <v/>
      </c>
    </row>
    <row r="48" ht="16" customHeight="1">
      <c r="A48" s="2" t="inlineStr">
        <is>
          <t>1785</t>
        </is>
      </c>
      <c r="B48" s="2" t="inlineStr">
        <is>
          <t>光洋科</t>
        </is>
      </c>
      <c r="C48" s="2" t="inlineStr">
        <is>
          <t>其他電子類</t>
        </is>
      </c>
      <c r="D48" s="3" t="n">
        <v>18.23</v>
      </c>
      <c r="E48" s="3" t="n">
        <v>13.88</v>
      </c>
      <c r="F48" s="3" t="n">
        <v>10.93</v>
      </c>
      <c r="G48" s="3" t="n">
        <v>9.74</v>
      </c>
      <c r="H48" s="3" t="n">
        <v>7</v>
      </c>
      <c r="I48" s="3" t="n">
        <v>4.52</v>
      </c>
      <c r="J48" s="4">
        <f>IF(OR(D48="",G48=""),"",G48-D48)</f>
        <v/>
      </c>
      <c r="K48" s="4">
        <f>IF(OR(E48="",H48=""),"",H48-E48)</f>
        <v/>
      </c>
      <c r="L48" s="4">
        <f>IF(OR(F48="",I48=""),"",I48-F48)</f>
        <v/>
      </c>
      <c r="M48" s="3" t="n">
        <v>2.54</v>
      </c>
      <c r="N48" s="3" t="n">
        <v>3.65</v>
      </c>
      <c r="O48" s="3" t="n">
        <v>1.11</v>
      </c>
      <c r="P48" s="3" t="n">
        <v>15.1</v>
      </c>
      <c r="Q48" s="3" t="n">
        <v>88</v>
      </c>
      <c r="R48" s="3" t="n">
        <v>2</v>
      </c>
      <c r="S48" s="3">
        <f>IF(OR(Q48="",R48="",Q48=0),"",R48/Q48*100)</f>
        <v/>
      </c>
    </row>
    <row r="49" ht="16" customHeight="1">
      <c r="A49" s="2" t="inlineStr">
        <is>
          <t>1789</t>
        </is>
      </c>
      <c r="B49" s="2" t="inlineStr">
        <is>
          <t>神隆</t>
        </is>
      </c>
      <c r="C49" s="2" t="inlineStr">
        <is>
          <t>生技</t>
        </is>
      </c>
      <c r="D49" s="3" t="n">
        <v>33.58</v>
      </c>
      <c r="E49" s="3" t="n">
        <v>1.29</v>
      </c>
      <c r="F49" s="3" t="n">
        <v>2.51</v>
      </c>
      <c r="G49" s="3" t="n">
        <v>19.84</v>
      </c>
      <c r="H49" s="3" t="n">
        <v>-9.640000000000001</v>
      </c>
      <c r="I49" s="3" t="n">
        <v>-5.24</v>
      </c>
      <c r="J49" s="4">
        <f>IF(OR(D49="",G49=""),"",G49-D49)</f>
        <v/>
      </c>
      <c r="K49" s="4">
        <f>IF(OR(E49="",H49=""),"",H49-E49)</f>
        <v/>
      </c>
      <c r="L49" s="4">
        <f>IF(OR(F49="",I49=""),"",I49-F49)</f>
        <v/>
      </c>
      <c r="M49" s="3" t="n">
        <v>0.02</v>
      </c>
      <c r="N49" s="3" t="n">
        <v>-0.02</v>
      </c>
      <c r="O49" s="3" t="n">
        <v>-0.04</v>
      </c>
      <c r="P49" s="3" t="n">
        <v>389</v>
      </c>
      <c r="Q49" s="3" t="n">
        <v>20</v>
      </c>
      <c r="R49" s="3" t="n">
        <v>0.29</v>
      </c>
      <c r="S49" s="3">
        <f>IF(OR(Q49="",R49="",Q49=0),"",R49/Q49*100)</f>
        <v/>
      </c>
    </row>
    <row r="50" ht="16" customHeight="1">
      <c r="A50" s="2" t="inlineStr">
        <is>
          <t>1795</t>
        </is>
      </c>
      <c r="B50" s="2" t="inlineStr">
        <is>
          <t>美時</t>
        </is>
      </c>
      <c r="C50" s="2" t="inlineStr">
        <is>
          <t>化學生技醫療</t>
        </is>
      </c>
      <c r="D50" s="3" t="n">
        <v>50.73</v>
      </c>
      <c r="E50" s="3" t="n">
        <v>22.66</v>
      </c>
      <c r="F50" s="3" t="n">
        <v>6.56</v>
      </c>
      <c r="G50" s="3" t="n">
        <v>53.68</v>
      </c>
      <c r="H50" s="3" t="n">
        <v>26.48</v>
      </c>
      <c r="I50" s="3" t="n">
        <v>7.29</v>
      </c>
      <c r="J50" s="4">
        <f>IF(OR(D50="",G50=""),"",G50-D50)</f>
        <v/>
      </c>
      <c r="K50" s="4">
        <f>IF(OR(E50="",H50=""),"",H50-E50)</f>
        <v/>
      </c>
      <c r="L50" s="4">
        <f>IF(OR(F50="",I50=""),"",I50-F50)</f>
        <v/>
      </c>
      <c r="M50" s="3" t="n">
        <v>2.18</v>
      </c>
      <c r="N50" s="3" t="n">
        <v>4.65</v>
      </c>
      <c r="O50" s="3" t="n">
        <v>2.47</v>
      </c>
      <c r="P50" s="3" t="n">
        <v>13.89</v>
      </c>
      <c r="Q50" s="3" t="n">
        <v>167.5</v>
      </c>
      <c r="R50" s="3" t="n">
        <v>2.57</v>
      </c>
      <c r="S50" s="3">
        <f>IF(OR(Q50="",R50="",Q50=0),"",R50/Q50*100)</f>
        <v/>
      </c>
    </row>
    <row r="51" ht="16" customHeight="1">
      <c r="A51" s="2" t="inlineStr">
        <is>
          <t>1802</t>
        </is>
      </c>
      <c r="B51" s="2" t="inlineStr">
        <is>
          <t>台玻</t>
        </is>
      </c>
      <c r="C51" s="2" t="inlineStr">
        <is>
          <t>玻璃陶瓷</t>
        </is>
      </c>
      <c r="D51" s="3" t="n">
        <v>19.23</v>
      </c>
      <c r="E51" s="3" t="n">
        <v>7.88</v>
      </c>
      <c r="F51" s="3" t="n">
        <v>5.71</v>
      </c>
      <c r="G51" s="3" t="n">
        <v>23.32</v>
      </c>
      <c r="H51" s="3" t="n">
        <v>12.63</v>
      </c>
      <c r="I51" s="3" t="n">
        <v>10.75</v>
      </c>
      <c r="J51" s="4">
        <f>IF(OR(D51="",G51=""),"",G51-D51)</f>
        <v/>
      </c>
      <c r="K51" s="4">
        <f>IF(OR(E51="",H51=""),"",H51-E51)</f>
        <v/>
      </c>
      <c r="L51" s="4">
        <f>IF(OR(F51="",I51=""),"",I51-F51)</f>
        <v/>
      </c>
      <c r="M51" s="3" t="n">
        <v>0.2</v>
      </c>
      <c r="N51" s="3" t="n">
        <v>0.64</v>
      </c>
      <c r="O51" s="3" t="n">
        <v>0.44</v>
      </c>
      <c r="P51" s="3" t="n">
        <v>66.98</v>
      </c>
      <c r="Q51" s="3" t="n">
        <v>62.3</v>
      </c>
      <c r="R51" s="3" t="n">
        <v>0</v>
      </c>
      <c r="S51" s="3">
        <f>IF(OR(Q51="",R51="",Q51=0),"",R51/Q51*100)</f>
        <v/>
      </c>
    </row>
    <row r="52" ht="16" customHeight="1">
      <c r="A52" s="2" t="inlineStr">
        <is>
          <t>1808</t>
        </is>
      </c>
      <c r="B52" s="2" t="inlineStr">
        <is>
          <t>潤隆</t>
        </is>
      </c>
      <c r="C52" s="2" t="inlineStr">
        <is>
          <t>建材營造</t>
        </is>
      </c>
      <c r="D52" s="3" t="n">
        <v>27.35</v>
      </c>
      <c r="E52" s="3" t="n">
        <v>22.8</v>
      </c>
      <c r="F52" s="3" t="n">
        <v>17.47</v>
      </c>
      <c r="G52" s="3" t="n">
        <v>25.67</v>
      </c>
      <c r="H52" s="3" t="n">
        <v>21.51</v>
      </c>
      <c r="I52" s="3" t="n">
        <v>18.46</v>
      </c>
      <c r="J52" s="4">
        <f>IF(OR(D52="",G52=""),"",G52-D52)</f>
        <v/>
      </c>
      <c r="K52" s="4">
        <f>IF(OR(E52="",H52=""),"",H52-E52)</f>
        <v/>
      </c>
      <c r="L52" s="4">
        <f>IF(OR(F52="",I52=""),"",I52-F52)</f>
        <v/>
      </c>
      <c r="M52" s="3" t="n">
        <v>1.06</v>
      </c>
      <c r="N52" s="3" t="n">
        <v>2.52</v>
      </c>
      <c r="O52" s="3" t="n">
        <v>1.46</v>
      </c>
      <c r="P52" s="3" t="n">
        <v>8.75</v>
      </c>
      <c r="Q52" s="3" t="n">
        <v>35.95</v>
      </c>
      <c r="R52" s="3" t="n">
        <v>1.5</v>
      </c>
      <c r="S52" s="3">
        <f>IF(OR(Q52="",R52="",Q52=0),"",R52/Q52*100)</f>
        <v/>
      </c>
    </row>
    <row r="53" ht="16" customHeight="1">
      <c r="A53" s="2" t="inlineStr">
        <is>
          <t>1815</t>
        </is>
      </c>
      <c r="B53" s="2" t="inlineStr">
        <is>
          <t>富喬</t>
        </is>
      </c>
      <c r="C53" s="2" t="inlineStr">
        <is>
          <t>電子零組件業</t>
        </is>
      </c>
      <c r="D53" s="3" t="n">
        <v>35.97</v>
      </c>
      <c r="E53" s="3" t="n">
        <v>21.37</v>
      </c>
      <c r="F53" s="3" t="n">
        <v>24.34</v>
      </c>
      <c r="G53" s="3" t="n">
        <v>39.97</v>
      </c>
      <c r="H53" s="3" t="n">
        <v>25.68</v>
      </c>
      <c r="I53" s="3" t="n">
        <v>39.54</v>
      </c>
      <c r="J53" s="4">
        <f>IF(OR(D53="",G53=""),"",G53-D53)</f>
        <v/>
      </c>
      <c r="K53" s="4">
        <f>IF(OR(E53="",H53=""),"",H53-E53)</f>
        <v/>
      </c>
      <c r="L53" s="4">
        <f>IF(OR(F53="",I53=""),"",I53-F53)</f>
        <v/>
      </c>
      <c r="M53" s="3" t="n">
        <v>0.79</v>
      </c>
      <c r="N53" s="3" t="n">
        <v>2.24</v>
      </c>
      <c r="O53" s="3" t="n">
        <v>1.45</v>
      </c>
      <c r="P53" s="3" t="n">
        <v>31.01</v>
      </c>
      <c r="Q53" s="3" t="n">
        <v>126.5</v>
      </c>
      <c r="R53" s="3" t="n">
        <v>0.5</v>
      </c>
      <c r="S53" s="3">
        <f>IF(OR(Q53="",R53="",Q53=0),"",R53/Q53*100)</f>
        <v/>
      </c>
    </row>
    <row r="54" ht="16" customHeight="1">
      <c r="A54" s="2" t="inlineStr">
        <is>
          <t>1904</t>
        </is>
      </c>
      <c r="B54" s="2" t="inlineStr">
        <is>
          <t>正隆</t>
        </is>
      </c>
      <c r="C54" s="2" t="inlineStr">
        <is>
          <t>造紙</t>
        </is>
      </c>
      <c r="D54" s="3" t="n">
        <v>20.63</v>
      </c>
      <c r="E54" s="3" t="n">
        <v>6.68</v>
      </c>
      <c r="F54" s="3" t="n">
        <v>5.99</v>
      </c>
      <c r="G54" s="3" t="n">
        <v>20.52</v>
      </c>
      <c r="H54" s="3" t="n">
        <v>7.25</v>
      </c>
      <c r="I54" s="3" t="n">
        <v>9.27</v>
      </c>
      <c r="J54" s="4">
        <f>IF(OR(D54="",G54=""),"",G54-D54)</f>
        <v/>
      </c>
      <c r="K54" s="4">
        <f>IF(OR(E54="",H54=""),"",H54-E54)</f>
        <v/>
      </c>
      <c r="L54" s="4">
        <f>IF(OR(F54="",I54=""),"",I54-F54)</f>
        <v/>
      </c>
      <c r="M54" s="3" t="n">
        <v>0.5600000000000001</v>
      </c>
      <c r="N54" s="3" t="n">
        <v>1.45</v>
      </c>
      <c r="O54" s="3" t="n">
        <v>0.89</v>
      </c>
      <c r="P54" s="3" t="n">
        <v>11.84</v>
      </c>
      <c r="Q54" s="3" t="n">
        <v>24.4</v>
      </c>
      <c r="R54" s="3" t="n">
        <v>0.45</v>
      </c>
      <c r="S54" s="3">
        <f>IF(OR(Q54="",R54="",Q54=0),"",R54/Q54*100)</f>
        <v/>
      </c>
    </row>
    <row r="55" ht="16" customHeight="1">
      <c r="A55" s="2" t="inlineStr">
        <is>
          <t>1905</t>
        </is>
      </c>
      <c r="B55" s="2" t="inlineStr">
        <is>
          <t>華紙</t>
        </is>
      </c>
      <c r="C55" s="2" t="inlineStr">
        <is>
          <t>造紙</t>
        </is>
      </c>
      <c r="D55" s="3" t="n">
        <v>5.24</v>
      </c>
      <c r="E55" s="3" t="n">
        <v>-4.89</v>
      </c>
      <c r="F55" s="3" t="n">
        <v>-4.03</v>
      </c>
      <c r="G55" s="3" t="n">
        <v>0.88</v>
      </c>
      <c r="H55" s="3" t="n">
        <v>-9.970000000000001</v>
      </c>
      <c r="I55" s="3" t="n">
        <v>-9.19</v>
      </c>
      <c r="J55" s="4">
        <f>IF(OR(D55="",G55=""),"",G55-D55)</f>
        <v/>
      </c>
      <c r="K55" s="4">
        <f>IF(OR(E55="",H55=""),"",H55-E55)</f>
        <v/>
      </c>
      <c r="L55" s="4">
        <f>IF(OR(F55="",I55=""),"",I55-F55)</f>
        <v/>
      </c>
      <c r="M55" s="3" t="n">
        <v>-0.16</v>
      </c>
      <c r="N55" s="3" t="n">
        <v>-0.52</v>
      </c>
      <c r="O55" s="3" t="n">
        <v>-0.36</v>
      </c>
      <c r="P55" s="3" t="n"/>
      <c r="Q55" s="3" t="n">
        <v>12.15</v>
      </c>
      <c r="R55" s="3" t="n"/>
      <c r="S55" s="3">
        <f>IF(OR(Q55="",R55="",Q55=0),"",R55/Q55*100)</f>
        <v/>
      </c>
    </row>
    <row r="56" ht="16" customHeight="1">
      <c r="A56" s="2" t="inlineStr">
        <is>
          <t>1907</t>
        </is>
      </c>
      <c r="B56" s="2" t="inlineStr">
        <is>
          <t>永豐餘</t>
        </is>
      </c>
      <c r="C56" s="2" t="inlineStr">
        <is>
          <t>造紙工業</t>
        </is>
      </c>
      <c r="D56" s="3" t="n">
        <v>13.5</v>
      </c>
      <c r="E56" s="3" t="n">
        <v>-0.43</v>
      </c>
      <c r="F56" s="3" t="n">
        <v>1.43</v>
      </c>
      <c r="G56" s="3" t="n">
        <v>14.59</v>
      </c>
      <c r="H56" s="3" t="n">
        <v>0.67</v>
      </c>
      <c r="I56" s="3" t="n">
        <v>2.88</v>
      </c>
      <c r="J56" s="4">
        <f>IF(OR(D56="",G56=""),"",G56-D56)</f>
        <v/>
      </c>
      <c r="K56" s="4">
        <f>IF(OR(E56="",H56=""),"",H56-E56)</f>
        <v/>
      </c>
      <c r="L56" s="4">
        <f>IF(OR(F56="",I56=""),"",I56-F56)</f>
        <v/>
      </c>
      <c r="M56" s="3" t="n">
        <v>0.13</v>
      </c>
      <c r="N56" s="3" t="n">
        <v>0.42</v>
      </c>
      <c r="O56" s="3" t="n">
        <v>0.29</v>
      </c>
      <c r="P56" s="3" t="n">
        <v>17.91</v>
      </c>
      <c r="Q56" s="3" t="n">
        <v>28.1</v>
      </c>
      <c r="R56" s="3" t="n">
        <v>1</v>
      </c>
      <c r="S56" s="3">
        <f>IF(OR(Q56="",R56="",Q56=0),"",R56/Q56*100)</f>
        <v/>
      </c>
    </row>
    <row r="57" ht="16" customHeight="1">
      <c r="A57" s="2" t="inlineStr">
        <is>
          <t>2002</t>
        </is>
      </c>
      <c r="B57" s="2" t="inlineStr">
        <is>
          <t>中鋼</t>
        </is>
      </c>
      <c r="C57" s="2" t="inlineStr"/>
      <c r="D57" s="3" t="n">
        <v>3.33</v>
      </c>
      <c r="E57" s="3" t="n">
        <v>-0.78</v>
      </c>
      <c r="F57" s="3" t="n">
        <v>-2.35</v>
      </c>
      <c r="G57" s="3" t="n">
        <v>7.96</v>
      </c>
      <c r="H57" s="3" t="n">
        <v>4.12</v>
      </c>
      <c r="I57" s="3" t="n">
        <v>3.15</v>
      </c>
      <c r="J57" s="4">
        <f>IF(OR(D57="",G57=""),"",G57-D57)</f>
        <v/>
      </c>
      <c r="K57" s="4">
        <f>IF(OR(E57="",H57=""),"",H57-E57)</f>
        <v/>
      </c>
      <c r="L57" s="4">
        <f>IF(OR(F57="",I57=""),"",I57-F57)</f>
        <v/>
      </c>
      <c r="M57" s="3" t="n">
        <v>-0.16</v>
      </c>
      <c r="N57" s="3" t="n">
        <v>0.08</v>
      </c>
      <c r="O57" s="3" t="n">
        <v>0.24</v>
      </c>
      <c r="P57" s="3" t="n"/>
      <c r="Q57" s="3" t="n">
        <v>19.25</v>
      </c>
      <c r="R57" s="3" t="n">
        <v>0.15</v>
      </c>
      <c r="S57" s="3">
        <f>IF(OR(Q57="",R57="",Q57=0),"",R57/Q57*100)</f>
        <v/>
      </c>
    </row>
    <row r="58" ht="16" customHeight="1">
      <c r="A58" s="2" t="inlineStr">
        <is>
          <t>2006</t>
        </is>
      </c>
      <c r="B58" s="2" t="inlineStr">
        <is>
          <t>東和鋼鐵</t>
        </is>
      </c>
      <c r="C58" s="2" t="inlineStr">
        <is>
          <t>鋼鐵工業</t>
        </is>
      </c>
      <c r="D58" s="3" t="n">
        <v>14.74</v>
      </c>
      <c r="E58" s="3" t="n">
        <v>10.22</v>
      </c>
      <c r="F58" s="3" t="n">
        <v>8.960000000000001</v>
      </c>
      <c r="G58" s="3" t="n">
        <v>18.03</v>
      </c>
      <c r="H58" s="3" t="n">
        <v>13.67</v>
      </c>
      <c r="I58" s="3" t="n">
        <v>10.91</v>
      </c>
      <c r="J58" s="4">
        <f>IF(OR(D58="",G58=""),"",G58-D58)</f>
        <v/>
      </c>
      <c r="K58" s="4">
        <f>IF(OR(E58="",H58=""),"",H58-E58)</f>
        <v/>
      </c>
      <c r="L58" s="4">
        <f>IF(OR(F58="",I58=""),"",I58-F58)</f>
        <v/>
      </c>
      <c r="M58" s="3" t="n">
        <v>1.66</v>
      </c>
      <c r="N58" s="3" t="n">
        <v>4.08</v>
      </c>
      <c r="O58" s="3" t="n">
        <v>2.42</v>
      </c>
      <c r="P58" s="3" t="n">
        <v>10.74</v>
      </c>
      <c r="Q58" s="3" t="n">
        <v>90</v>
      </c>
      <c r="R58" s="3" t="n">
        <v>4.3</v>
      </c>
      <c r="S58" s="3">
        <f>IF(OR(Q58="",R58="",Q58=0),"",R58/Q58*100)</f>
        <v/>
      </c>
    </row>
    <row r="59" ht="16" customHeight="1">
      <c r="A59" s="2" t="inlineStr">
        <is>
          <t>2010</t>
        </is>
      </c>
      <c r="B59" s="2" t="inlineStr">
        <is>
          <t>春源</t>
        </is>
      </c>
      <c r="C59" s="2" t="inlineStr">
        <is>
          <t>鋼鐵</t>
        </is>
      </c>
      <c r="D59" s="3" t="n">
        <v>10.61</v>
      </c>
      <c r="E59" s="3" t="n">
        <v>7.21</v>
      </c>
      <c r="F59" s="3" t="n">
        <v>5.81</v>
      </c>
      <c r="G59" s="3" t="n">
        <v>12.74</v>
      </c>
      <c r="H59" s="3" t="n">
        <v>8.56</v>
      </c>
      <c r="I59" s="3" t="n">
        <v>7.95</v>
      </c>
      <c r="J59" s="4">
        <f>IF(OR(D59="",G59=""),"",G59-D59)</f>
        <v/>
      </c>
      <c r="K59" s="4">
        <f>IF(OR(E59="",H59=""),"",H59-E59)</f>
        <v/>
      </c>
      <c r="L59" s="4">
        <f>IF(OR(F59="",I59=""),"",I59-F59)</f>
        <v/>
      </c>
      <c r="M59" s="3" t="n">
        <v>0.57</v>
      </c>
      <c r="N59" s="3" t="n">
        <v>1.35</v>
      </c>
      <c r="O59" s="3" t="n">
        <v>0.78</v>
      </c>
      <c r="P59" s="3" t="n">
        <v>9.08</v>
      </c>
      <c r="Q59" s="3" t="n">
        <v>22.9</v>
      </c>
      <c r="R59" s="3" t="n">
        <v>2</v>
      </c>
      <c r="S59" s="3">
        <f>IF(OR(Q59="",R59="",Q59=0),"",R59/Q59*100)</f>
        <v/>
      </c>
    </row>
    <row r="60" ht="16" customHeight="1">
      <c r="A60" s="2" t="inlineStr">
        <is>
          <t>2014</t>
        </is>
      </c>
      <c r="B60" s="2" t="inlineStr">
        <is>
          <t>中鴻</t>
        </is>
      </c>
      <c r="C60" s="2" t="inlineStr">
        <is>
          <t>鋼鐵</t>
        </is>
      </c>
      <c r="D60" s="3" t="n">
        <v>-0.95</v>
      </c>
      <c r="E60" s="3" t="n">
        <v>-2.98</v>
      </c>
      <c r="F60" s="3" t="n">
        <v>-3.26</v>
      </c>
      <c r="G60" s="3" t="n">
        <v>6.15</v>
      </c>
      <c r="H60" s="3" t="n">
        <v>4.38</v>
      </c>
      <c r="I60" s="3" t="n">
        <v>4.28</v>
      </c>
      <c r="J60" s="4">
        <f>IF(OR(D60="",G60=""),"",G60-D60)</f>
        <v/>
      </c>
      <c r="K60" s="4">
        <f>IF(OR(E60="",H60=""),"",H60-E60)</f>
        <v/>
      </c>
      <c r="L60" s="4">
        <f>IF(OR(F60="",I60=""),"",I60-F60)</f>
        <v/>
      </c>
      <c r="M60" s="3" t="n">
        <v>-0.1</v>
      </c>
      <c r="N60" s="3" t="n">
        <v>0.07000000000000001</v>
      </c>
      <c r="O60" s="3" t="n">
        <v>0.17</v>
      </c>
      <c r="P60" s="3" t="n"/>
      <c r="Q60" s="3" t="n">
        <v>16.2</v>
      </c>
      <c r="R60" s="3" t="n"/>
      <c r="S60" s="3">
        <f>IF(OR(Q60="",R60="",Q60=0),"",R60/Q60*100)</f>
        <v/>
      </c>
    </row>
    <row r="61" ht="16" customHeight="1">
      <c r="A61" s="2" t="inlineStr">
        <is>
          <t>2015</t>
        </is>
      </c>
      <c r="B61" s="2" t="inlineStr">
        <is>
          <t>豐興</t>
        </is>
      </c>
      <c r="C61" s="2" t="inlineStr">
        <is>
          <t>鋼鐵</t>
        </is>
      </c>
      <c r="D61" s="3" t="n">
        <v>12.81</v>
      </c>
      <c r="E61" s="3" t="n">
        <v>9.199999999999999</v>
      </c>
      <c r="F61" s="3" t="n">
        <v>8.210000000000001</v>
      </c>
      <c r="G61" s="3" t="n">
        <v>12.74</v>
      </c>
      <c r="H61" s="3" t="n">
        <v>9.67</v>
      </c>
      <c r="I61" s="3" t="n">
        <v>11.16</v>
      </c>
      <c r="J61" s="4">
        <f>IF(OR(D61="",G61=""),"",G61-D61)</f>
        <v/>
      </c>
      <c r="K61" s="4">
        <f>IF(OR(E61="",H61=""),"",H61-E61)</f>
        <v/>
      </c>
      <c r="L61" s="4">
        <f>IF(OR(F61="",I61=""),"",I61-F61)</f>
        <v/>
      </c>
      <c r="M61" s="3" t="n">
        <v>0.91</v>
      </c>
      <c r="N61" s="3" t="n">
        <v>2.36</v>
      </c>
      <c r="O61" s="3" t="n">
        <v>1.45</v>
      </c>
      <c r="P61" s="3" t="n">
        <v>14.86</v>
      </c>
      <c r="Q61" s="3" t="n">
        <v>63.5</v>
      </c>
      <c r="R61" s="3" t="n">
        <v>3.3</v>
      </c>
      <c r="S61" s="3">
        <f>IF(OR(Q61="",R61="",Q61=0),"",R61/Q61*100)</f>
        <v/>
      </c>
    </row>
    <row r="62" ht="16" customHeight="1">
      <c r="A62" s="2" t="inlineStr">
        <is>
          <t>2023</t>
        </is>
      </c>
      <c r="B62" s="2" t="inlineStr">
        <is>
          <t>燁輝</t>
        </is>
      </c>
      <c r="C62" s="2" t="inlineStr">
        <is>
          <t>鋼鐵</t>
        </is>
      </c>
      <c r="D62" s="3" t="n">
        <v>8.539999999999999</v>
      </c>
      <c r="E62" s="3" t="n">
        <v>0.53</v>
      </c>
      <c r="F62" s="3" t="n">
        <v>-5.14</v>
      </c>
      <c r="G62" s="3" t="n">
        <v>10.41</v>
      </c>
      <c r="H62" s="3" t="n">
        <v>2.01</v>
      </c>
      <c r="I62" s="3" t="n">
        <v>-1.55</v>
      </c>
      <c r="J62" s="4">
        <f>IF(OR(D62="",G62=""),"",G62-D62)</f>
        <v/>
      </c>
      <c r="K62" s="4">
        <f>IF(OR(E62="",H62=""),"",H62-E62)</f>
        <v/>
      </c>
      <c r="L62" s="4">
        <f>IF(OR(F62="",I62=""),"",I62-F62)</f>
        <v/>
      </c>
      <c r="M62" s="3" t="n">
        <v>-0.4</v>
      </c>
      <c r="N62" s="3" t="n">
        <v>-0.51</v>
      </c>
      <c r="O62" s="3" t="n">
        <v>-0.11</v>
      </c>
      <c r="P62" s="3" t="n"/>
      <c r="Q62" s="3" t="n">
        <v>14.35</v>
      </c>
      <c r="R62" s="3" t="n"/>
      <c r="S62" s="3">
        <f>IF(OR(Q62="",R62="",Q62=0),"",R62/Q62*100)</f>
        <v/>
      </c>
    </row>
    <row r="63" ht="16" customHeight="1">
      <c r="A63" s="2" t="inlineStr">
        <is>
          <t>2027</t>
        </is>
      </c>
      <c r="B63" s="2" t="inlineStr">
        <is>
          <t>大成鋼</t>
        </is>
      </c>
      <c r="C63" s="2" t="inlineStr">
        <is>
          <t>鋼鐵工業</t>
        </is>
      </c>
      <c r="D63" s="3" t="n">
        <v>27.32</v>
      </c>
      <c r="E63" s="3" t="n">
        <v>18.07</v>
      </c>
      <c r="F63" s="3" t="n">
        <v>11.27</v>
      </c>
      <c r="G63" s="3" t="n">
        <v>30.49</v>
      </c>
      <c r="H63" s="3" t="n">
        <v>21.11</v>
      </c>
      <c r="I63" s="3" t="n">
        <v>15.06</v>
      </c>
      <c r="J63" s="4">
        <f>IF(OR(D63="",G63=""),"",G63-D63)</f>
        <v/>
      </c>
      <c r="K63" s="4">
        <f>IF(OR(E63="",H63=""),"",H63-E63)</f>
        <v/>
      </c>
      <c r="L63" s="4">
        <f>IF(OR(F63="",I63=""),"",I63-F63)</f>
        <v/>
      </c>
      <c r="M63" s="3" t="n">
        <v>1.17</v>
      </c>
      <c r="N63" s="3" t="n">
        <v>2.98</v>
      </c>
      <c r="O63" s="3" t="n">
        <v>1.81</v>
      </c>
      <c r="P63" s="3" t="n">
        <v>9.390000000000001</v>
      </c>
      <c r="Q63" s="3" t="n">
        <v>50.2</v>
      </c>
      <c r="R63" s="3" t="n">
        <v>1.5</v>
      </c>
      <c r="S63" s="3">
        <f>IF(OR(Q63="",R63="",Q63=0),"",R63/Q63*100)</f>
        <v/>
      </c>
    </row>
    <row r="64" ht="16" customHeight="1">
      <c r="A64" s="2" t="inlineStr">
        <is>
          <t>2049</t>
        </is>
      </c>
      <c r="B64" s="2" t="inlineStr">
        <is>
          <t>上銀</t>
        </is>
      </c>
      <c r="C64" s="2" t="inlineStr">
        <is>
          <t>電機機械</t>
        </is>
      </c>
      <c r="D64" s="3" t="n">
        <v>31.94</v>
      </c>
      <c r="E64" s="3" t="n">
        <v>9.880000000000001</v>
      </c>
      <c r="F64" s="3" t="n">
        <v>8.609999999999999</v>
      </c>
      <c r="G64" s="3" t="n">
        <v>34.17</v>
      </c>
      <c r="H64" s="3" t="n">
        <v>13.77</v>
      </c>
      <c r="I64" s="3" t="n">
        <v>10.87</v>
      </c>
      <c r="J64" s="4">
        <f>IF(OR(D64="",G64=""),"",G64-D64)</f>
        <v/>
      </c>
      <c r="K64" s="4">
        <f>IF(OR(E64="",H64=""),"",H64-E64)</f>
        <v/>
      </c>
      <c r="L64" s="4">
        <f>IF(OR(F64="",I64=""),"",I64-F64)</f>
        <v/>
      </c>
      <c r="M64" s="3" t="n">
        <v>1.64</v>
      </c>
      <c r="N64" s="3" t="n">
        <v>4.04</v>
      </c>
      <c r="O64" s="3" t="n">
        <v>2.4</v>
      </c>
      <c r="P64" s="3" t="n">
        <v>52.88</v>
      </c>
      <c r="Q64" s="3" t="n">
        <v>326.5</v>
      </c>
      <c r="R64" s="3" t="n">
        <v>2</v>
      </c>
      <c r="S64" s="3">
        <f>IF(OR(Q64="",R64="",Q64=0),"",R64/Q64*100)</f>
        <v/>
      </c>
    </row>
    <row r="65" ht="16" customHeight="1">
      <c r="A65" s="2" t="inlineStr">
        <is>
          <t>2059</t>
        </is>
      </c>
      <c r="B65" s="2" t="inlineStr">
        <is>
          <t>川湖</t>
        </is>
      </c>
      <c r="C65" s="2" t="inlineStr">
        <is>
          <t>電子工業</t>
        </is>
      </c>
      <c r="D65" s="3" t="n">
        <v>77.73999999999999</v>
      </c>
      <c r="E65" s="3" t="n">
        <v>67.06</v>
      </c>
      <c r="F65" s="3" t="n">
        <v>63.96</v>
      </c>
      <c r="G65" s="3" t="n">
        <v>87.42</v>
      </c>
      <c r="H65" s="3" t="n">
        <v>82.08</v>
      </c>
      <c r="I65" s="3" t="n">
        <v>65.45</v>
      </c>
      <c r="J65" s="4">
        <f>IF(OR(D65="",G65=""),"",G65-D65)</f>
        <v/>
      </c>
      <c r="K65" s="4">
        <f>IF(OR(E65="",H65=""),"",H65-E65)</f>
        <v/>
      </c>
      <c r="L65" s="4">
        <f>IF(OR(F65="",I65=""),"",I65-F65)</f>
        <v/>
      </c>
      <c r="M65" s="3" t="n">
        <v>36.58</v>
      </c>
      <c r="N65" s="3" t="n">
        <v>110.96</v>
      </c>
      <c r="O65" s="3" t="n">
        <v>74.38</v>
      </c>
      <c r="P65" s="3" t="n">
        <v>68.91</v>
      </c>
      <c r="Q65" s="3" t="n">
        <v>9650</v>
      </c>
      <c r="R65" s="3" t="n">
        <v>51</v>
      </c>
      <c r="S65" s="3">
        <f>IF(OR(Q65="",R65="",Q65=0),"",R65/Q65*100)</f>
        <v/>
      </c>
    </row>
    <row r="66" ht="16" customHeight="1">
      <c r="A66" s="2" t="inlineStr">
        <is>
          <t>2072</t>
        </is>
      </c>
      <c r="B66" s="2" t="inlineStr">
        <is>
          <t>世紀風電</t>
        </is>
      </c>
      <c r="C66" s="2" t="inlineStr">
        <is>
          <t>鋼鐵工業</t>
        </is>
      </c>
      <c r="D66" s="3" t="n">
        <v>30.92</v>
      </c>
      <c r="E66" s="3" t="n">
        <v>28.32</v>
      </c>
      <c r="F66" s="3" t="n">
        <v>22.88</v>
      </c>
      <c r="G66" s="3" t="n">
        <v>20.64</v>
      </c>
      <c r="H66" s="3" t="n">
        <v>18.83</v>
      </c>
      <c r="I66" s="3" t="n">
        <v>16.11</v>
      </c>
      <c r="J66" s="4">
        <f>IF(OR(D66="",G66=""),"",G66-D66)</f>
        <v/>
      </c>
      <c r="K66" s="4">
        <f>IF(OR(E66="",H66=""),"",H66-E66)</f>
        <v/>
      </c>
      <c r="L66" s="4">
        <f>IF(OR(F66="",I66=""),"",I66-F66)</f>
        <v/>
      </c>
      <c r="M66" s="3" t="n">
        <v>5.26</v>
      </c>
      <c r="N66" s="3" t="n">
        <v>9.369999999999999</v>
      </c>
      <c r="O66" s="3" t="n">
        <v>4.11</v>
      </c>
      <c r="P66" s="3" t="n">
        <v>10.49</v>
      </c>
      <c r="Q66" s="3" t="n">
        <v>114</v>
      </c>
      <c r="R66" s="3" t="n">
        <v>13.08</v>
      </c>
      <c r="S66" s="3">
        <f>IF(OR(Q66="",R66="",Q66=0),"",R66/Q66*100)</f>
        <v/>
      </c>
    </row>
    <row r="67" ht="16" customHeight="1">
      <c r="A67" s="2" t="inlineStr">
        <is>
          <t>2101</t>
        </is>
      </c>
      <c r="B67" s="2" t="inlineStr">
        <is>
          <t>南港</t>
        </is>
      </c>
      <c r="C67" s="2" t="inlineStr">
        <is>
          <t>橡膠</t>
        </is>
      </c>
      <c r="D67" s="3" t="n">
        <v>41.25</v>
      </c>
      <c r="E67" s="3" t="n">
        <v>30.4</v>
      </c>
      <c r="F67" s="3" t="n">
        <v>24.78</v>
      </c>
      <c r="G67" s="3" t="n">
        <v>43.42</v>
      </c>
      <c r="H67" s="3" t="n">
        <v>34.25</v>
      </c>
      <c r="I67" s="3" t="n">
        <v>20.95</v>
      </c>
      <c r="J67" s="4">
        <f>IF(OR(D67="",G67=""),"",G67-D67)</f>
        <v/>
      </c>
      <c r="K67" s="4">
        <f>IF(OR(E67="",H67=""),"",H67-E67)</f>
        <v/>
      </c>
      <c r="L67" s="4">
        <f>IF(OR(F67="",I67=""),"",I67-F67)</f>
        <v/>
      </c>
      <c r="M67" s="3" t="n">
        <v>1.86</v>
      </c>
      <c r="N67" s="3" t="n">
        <v>4.07</v>
      </c>
      <c r="O67" s="3" t="n">
        <v>2.21</v>
      </c>
      <c r="P67" s="3" t="n">
        <v>5.72</v>
      </c>
      <c r="Q67" s="3" t="n">
        <v>28.6</v>
      </c>
      <c r="R67" s="3" t="n">
        <v>1.3</v>
      </c>
      <c r="S67" s="3">
        <f>IF(OR(Q67="",R67="",Q67=0),"",R67/Q67*100)</f>
        <v/>
      </c>
    </row>
    <row r="68" ht="16" customHeight="1">
      <c r="A68" s="2" t="inlineStr">
        <is>
          <t>2103</t>
        </is>
      </c>
      <c r="B68" s="2" t="inlineStr">
        <is>
          <t>台橡</t>
        </is>
      </c>
      <c r="C68" s="2" t="inlineStr">
        <is>
          <t>橡膠</t>
        </is>
      </c>
      <c r="D68" s="3" t="n">
        <v>12.25</v>
      </c>
      <c r="E68" s="3" t="n">
        <v>6.3</v>
      </c>
      <c r="F68" s="3" t="n">
        <v>4.86</v>
      </c>
      <c r="G68" s="3" t="n">
        <v>21.15</v>
      </c>
      <c r="H68" s="3" t="n">
        <v>15.25</v>
      </c>
      <c r="I68" s="3" t="n"/>
      <c r="J68" s="4">
        <f>IF(OR(D68="",G68=""),"",G68-D68)</f>
        <v/>
      </c>
      <c r="K68" s="4">
        <f>IF(OR(E68="",H68=""),"",H68-E68)</f>
        <v/>
      </c>
      <c r="L68" s="4">
        <f>IF(OR(F68="",I68=""),"",I68-F68)</f>
        <v/>
      </c>
      <c r="M68" s="3" t="n">
        <v>0.53</v>
      </c>
      <c r="N68" s="3" t="n">
        <v>2.26</v>
      </c>
      <c r="O68" s="3" t="n">
        <v>1.73</v>
      </c>
      <c r="P68" s="3" t="n">
        <v>10.78</v>
      </c>
      <c r="Q68" s="3" t="n">
        <v>26.75</v>
      </c>
      <c r="R68" s="3" t="n">
        <v>0.27</v>
      </c>
      <c r="S68" s="3">
        <f>IF(OR(Q68="",R68="",Q68=0),"",R68/Q68*100)</f>
        <v/>
      </c>
    </row>
    <row r="69" ht="16" customHeight="1">
      <c r="A69" s="2" t="inlineStr">
        <is>
          <t>2105</t>
        </is>
      </c>
      <c r="B69" s="2" t="inlineStr">
        <is>
          <t>正新</t>
        </is>
      </c>
      <c r="C69" s="2" t="inlineStr">
        <is>
          <t>橡膠工業</t>
        </is>
      </c>
      <c r="D69" s="3" t="n">
        <v>24.84</v>
      </c>
      <c r="E69" s="3" t="n">
        <v>9.93</v>
      </c>
      <c r="F69" s="3" t="n">
        <v>7.92</v>
      </c>
      <c r="G69" s="3" t="n">
        <v>24.84</v>
      </c>
      <c r="H69" s="3" t="n">
        <v>9.99</v>
      </c>
      <c r="I69" s="3" t="n">
        <v>6.15</v>
      </c>
      <c r="J69" s="4">
        <f>IF(OR(D69="",G69=""),"",G69-D69)</f>
        <v/>
      </c>
      <c r="K69" s="4">
        <f>IF(OR(E69="",H69=""),"",H69-E69)</f>
        <v/>
      </c>
      <c r="L69" s="4">
        <f>IF(OR(F69="",I69=""),"",I69-F69)</f>
        <v/>
      </c>
      <c r="M69" s="3" t="n">
        <v>0.57</v>
      </c>
      <c r="N69" s="3" t="n">
        <v>1.05</v>
      </c>
      <c r="O69" s="3" t="n">
        <v>0.48</v>
      </c>
      <c r="P69" s="3" t="n">
        <v>16.7</v>
      </c>
      <c r="Q69" s="3" t="n">
        <v>31.3</v>
      </c>
      <c r="R69" s="3" t="n">
        <v>1.8</v>
      </c>
      <c r="S69" s="3">
        <f>IF(OR(Q69="",R69="",Q69=0),"",R69/Q69*100)</f>
        <v/>
      </c>
    </row>
    <row r="70" ht="16" customHeight="1">
      <c r="A70" s="2" t="inlineStr">
        <is>
          <t>2106</t>
        </is>
      </c>
      <c r="B70" s="2" t="inlineStr">
        <is>
          <t>建大</t>
        </is>
      </c>
      <c r="C70" s="2" t="inlineStr">
        <is>
          <t>橡膠工業</t>
        </is>
      </c>
      <c r="D70" s="3" t="n">
        <v>19.75</v>
      </c>
      <c r="E70" s="3" t="n">
        <v>2.94</v>
      </c>
      <c r="F70" s="3" t="n">
        <v>1.28</v>
      </c>
      <c r="G70" s="3" t="n">
        <v>19.71</v>
      </c>
      <c r="H70" s="3" t="n">
        <v>3.05</v>
      </c>
      <c r="I70" s="3" t="n">
        <v>2.1</v>
      </c>
      <c r="J70" s="4">
        <f>IF(OR(D70="",G70=""),"",G70-D70)</f>
        <v/>
      </c>
      <c r="K70" s="4">
        <f>IF(OR(E70="",H70=""),"",H70-E70)</f>
        <v/>
      </c>
      <c r="L70" s="4">
        <f>IF(OR(F70="",I70=""),"",I70-F70)</f>
        <v/>
      </c>
      <c r="M70" s="3" t="n">
        <v>0.12</v>
      </c>
      <c r="N70" s="3" t="n">
        <v>0.33</v>
      </c>
      <c r="O70" s="3" t="n">
        <v>0.21</v>
      </c>
      <c r="P70" s="3" t="n">
        <v>37.55</v>
      </c>
      <c r="Q70" s="3" t="n">
        <v>16.65</v>
      </c>
      <c r="R70" s="3" t="n">
        <v>0.65</v>
      </c>
      <c r="S70" s="3">
        <f>IF(OR(Q70="",R70="",Q70=0),"",R70/Q70*100)</f>
        <v/>
      </c>
    </row>
    <row r="71" ht="16" customHeight="1">
      <c r="A71" s="2" t="inlineStr">
        <is>
          <t>2201</t>
        </is>
      </c>
      <c r="B71" s="2" t="inlineStr">
        <is>
          <t>裕隆</t>
        </is>
      </c>
      <c r="C71" s="2" t="inlineStr">
        <is>
          <t>汽車工業</t>
        </is>
      </c>
      <c r="D71" s="3" t="n">
        <v>32.99</v>
      </c>
      <c r="E71" s="3" t="n">
        <v>9.01</v>
      </c>
      <c r="F71" s="3" t="n">
        <v>6.21</v>
      </c>
      <c r="G71" s="3" t="n">
        <v>32.52</v>
      </c>
      <c r="H71" s="3" t="n">
        <v>10.33</v>
      </c>
      <c r="I71" s="3" t="n">
        <v>5.5</v>
      </c>
      <c r="J71" s="4">
        <f>IF(OR(D71="",G71=""),"",G71-D71)</f>
        <v/>
      </c>
      <c r="K71" s="4">
        <f>IF(OR(E71="",H71=""),"",H71-E71)</f>
        <v/>
      </c>
      <c r="L71" s="4">
        <f>IF(OR(F71="",I71=""),"",I71-F71)</f>
        <v/>
      </c>
      <c r="M71" s="3" t="n">
        <v>0.35</v>
      </c>
      <c r="N71" s="3" t="n">
        <v>0.5</v>
      </c>
      <c r="O71" s="3" t="n">
        <v>0.15</v>
      </c>
      <c r="P71" s="3" t="n">
        <v>32.92</v>
      </c>
      <c r="Q71" s="3" t="n">
        <v>28.9</v>
      </c>
      <c r="R71" s="3" t="n">
        <v>0.5600000000000001</v>
      </c>
      <c r="S71" s="3">
        <f>IF(OR(Q71="",R71="",Q71=0),"",R71/Q71*100)</f>
        <v/>
      </c>
    </row>
    <row r="72" ht="16" customHeight="1">
      <c r="A72" s="2" t="inlineStr">
        <is>
          <t>2204</t>
        </is>
      </c>
      <c r="B72" s="2" t="inlineStr">
        <is>
          <t>中華</t>
        </is>
      </c>
      <c r="C72" s="2" t="inlineStr">
        <is>
          <t>汽車工業</t>
        </is>
      </c>
      <c r="D72" s="3" t="n">
        <v>13.91</v>
      </c>
      <c r="E72" s="3" t="n">
        <v>4.62</v>
      </c>
      <c r="F72" s="3" t="n">
        <v>6.58</v>
      </c>
      <c r="G72" s="3" t="n">
        <v>15.17</v>
      </c>
      <c r="H72" s="3" t="n">
        <v>5.66</v>
      </c>
      <c r="I72" s="3" t="n">
        <v>13.16</v>
      </c>
      <c r="J72" s="4">
        <f>IF(OR(D72="",G72=""),"",G72-D72)</f>
        <v/>
      </c>
      <c r="K72" s="4">
        <f>IF(OR(E72="",H72=""),"",H72-E72)</f>
        <v/>
      </c>
      <c r="L72" s="4">
        <f>IF(OR(F72="",I72=""),"",I72-F72)</f>
        <v/>
      </c>
      <c r="M72" s="3" t="n">
        <v>1.18</v>
      </c>
      <c r="N72" s="3" t="n">
        <v>3.2</v>
      </c>
      <c r="O72" s="3" t="n">
        <v>2.02</v>
      </c>
      <c r="P72" s="3" t="n">
        <v>8.550000000000001</v>
      </c>
      <c r="Q72" s="3" t="n">
        <v>52.9</v>
      </c>
      <c r="R72" s="3" t="n">
        <v>3.6</v>
      </c>
      <c r="S72" s="3">
        <f>IF(OR(Q72="",R72="",Q72=0),"",R72/Q72*100)</f>
        <v/>
      </c>
    </row>
    <row r="73" ht="16" customHeight="1">
      <c r="A73" s="2" t="inlineStr">
        <is>
          <t>2206</t>
        </is>
      </c>
      <c r="B73" s="2" t="inlineStr">
        <is>
          <t>三陽工業</t>
        </is>
      </c>
      <c r="C73" s="2" t="inlineStr">
        <is>
          <t>汽車工業</t>
        </is>
      </c>
      <c r="D73" s="3" t="n">
        <v>21.2</v>
      </c>
      <c r="E73" s="3" t="n">
        <v>9.42</v>
      </c>
      <c r="F73" s="3" t="n">
        <v>7.37</v>
      </c>
      <c r="G73" s="3" t="n">
        <v>20.73</v>
      </c>
      <c r="H73" s="3" t="n">
        <v>8.029999999999999</v>
      </c>
      <c r="I73" s="3" t="n">
        <v>8.859999999999999</v>
      </c>
      <c r="J73" s="4">
        <f>IF(OR(D73="",G73=""),"",G73-D73)</f>
        <v/>
      </c>
      <c r="K73" s="4">
        <f>IF(OR(E73="",H73=""),"",H73-E73)</f>
        <v/>
      </c>
      <c r="L73" s="4">
        <f>IF(OR(F73="",I73=""),"",I73-F73)</f>
        <v/>
      </c>
      <c r="M73" s="3" t="n">
        <v>1.37</v>
      </c>
      <c r="N73" s="3" t="n">
        <v>3.09</v>
      </c>
      <c r="O73" s="3" t="n">
        <v>1.72</v>
      </c>
      <c r="P73" s="3" t="n">
        <v>10.2</v>
      </c>
      <c r="Q73" s="3" t="n">
        <v>63.8</v>
      </c>
      <c r="R73" s="3" t="n">
        <v>3.06</v>
      </c>
      <c r="S73" s="3">
        <f>IF(OR(Q73="",R73="",Q73=0),"",R73/Q73*100)</f>
        <v/>
      </c>
    </row>
    <row r="74" ht="16" customHeight="1">
      <c r="A74" s="2" t="inlineStr">
        <is>
          <t>2207</t>
        </is>
      </c>
      <c r="B74" s="2" t="inlineStr">
        <is>
          <t>和泰車</t>
        </is>
      </c>
      <c r="C74" s="2" t="inlineStr">
        <is>
          <t>汽車工業</t>
        </is>
      </c>
      <c r="D74" s="3" t="n">
        <v>15.48</v>
      </c>
      <c r="E74" s="3" t="n">
        <v>9.16</v>
      </c>
      <c r="F74" s="3" t="n">
        <v>7.37</v>
      </c>
      <c r="G74" s="3" t="n">
        <v>19.84</v>
      </c>
      <c r="H74" s="3" t="n">
        <v>11.93</v>
      </c>
      <c r="I74" s="3" t="n">
        <v>9.49</v>
      </c>
      <c r="J74" s="4">
        <f>IF(OR(D74="",G74=""),"",G74-D74)</f>
        <v/>
      </c>
      <c r="K74" s="4">
        <f>IF(OR(E74="",H74=""),"",H74-E74)</f>
        <v/>
      </c>
      <c r="L74" s="4">
        <f>IF(OR(F74="",I74=""),"",I74-F74)</f>
        <v/>
      </c>
      <c r="M74" s="3" t="n">
        <v>7.95</v>
      </c>
      <c r="N74" s="3" t="n">
        <v>3.76</v>
      </c>
      <c r="O74" s="3" t="n">
        <v>-4.19</v>
      </c>
      <c r="P74" s="3" t="n">
        <v>12.64</v>
      </c>
      <c r="Q74" s="3" t="n">
        <v>534</v>
      </c>
      <c r="R74" s="3" t="n">
        <v>20</v>
      </c>
      <c r="S74" s="3">
        <f>IF(OR(Q74="",R74="",Q74=0),"",R74/Q74*100)</f>
        <v/>
      </c>
    </row>
    <row r="75" ht="16" customHeight="1">
      <c r="A75" s="2" t="inlineStr">
        <is>
          <t>2208</t>
        </is>
      </c>
      <c r="B75" s="2" t="inlineStr">
        <is>
          <t>台船</t>
        </is>
      </c>
      <c r="C75" s="2" t="inlineStr">
        <is>
          <t>航運</t>
        </is>
      </c>
      <c r="D75" s="3" t="n">
        <v>0.05</v>
      </c>
      <c r="E75" s="3" t="n">
        <v>-3.8</v>
      </c>
      <c r="F75" s="3" t="n">
        <v>1.82</v>
      </c>
      <c r="G75" s="3" t="n">
        <v>-11.7</v>
      </c>
      <c r="H75" s="3" t="n">
        <v>-15.12</v>
      </c>
      <c r="I75" s="3" t="n">
        <v>5.4</v>
      </c>
      <c r="J75" s="4">
        <f>IF(OR(D75="",G75=""),"",G75-D75)</f>
        <v/>
      </c>
      <c r="K75" s="4">
        <f>IF(OR(E75="",H75=""),"",H75-E75)</f>
        <v/>
      </c>
      <c r="L75" s="4">
        <f>IF(OR(F75="",I75=""),"",I75-F75)</f>
        <v/>
      </c>
      <c r="M75" s="3" t="n">
        <v>0.07000000000000001</v>
      </c>
      <c r="N75" s="3" t="n">
        <v>0.28</v>
      </c>
      <c r="O75" s="3" t="n">
        <v>0.21</v>
      </c>
      <c r="P75" s="3" t="n">
        <v>39.9</v>
      </c>
      <c r="Q75" s="3" t="n">
        <v>17.8</v>
      </c>
      <c r="R75" s="3" t="n">
        <v>0</v>
      </c>
      <c r="S75" s="3">
        <f>IF(OR(Q75="",R75="",Q75=0),"",R75/Q75*100)</f>
        <v/>
      </c>
    </row>
    <row r="76" ht="16" customHeight="1">
      <c r="A76" s="2" t="inlineStr">
        <is>
          <t>2211</t>
        </is>
      </c>
      <c r="B76" s="2" t="inlineStr">
        <is>
          <t>長榮鋼</t>
        </is>
      </c>
      <c r="C76" s="2" t="inlineStr">
        <is>
          <t>鋼鐵工業</t>
        </is>
      </c>
      <c r="D76" s="3" t="n">
        <v>23.15</v>
      </c>
      <c r="E76" s="3" t="n">
        <v>18.62</v>
      </c>
      <c r="F76" s="3" t="n">
        <v>15.64</v>
      </c>
      <c r="G76" s="3" t="n">
        <v>27.71</v>
      </c>
      <c r="H76" s="3" t="n">
        <v>21.07</v>
      </c>
      <c r="I76" s="3" t="n">
        <v>24.37</v>
      </c>
      <c r="J76" s="4">
        <f>IF(OR(D76="",G76=""),"",G76-D76)</f>
        <v/>
      </c>
      <c r="K76" s="4">
        <f>IF(OR(E76="",H76=""),"",H76-E76)</f>
        <v/>
      </c>
      <c r="L76" s="4">
        <f>IF(OR(F76="",I76=""),"",I76-F76)</f>
        <v/>
      </c>
      <c r="M76" s="3" t="n">
        <v>1.07</v>
      </c>
      <c r="N76" s="3" t="n">
        <v>3.26</v>
      </c>
      <c r="O76" s="3" t="n">
        <v>2.19</v>
      </c>
      <c r="P76" s="3" t="n">
        <v>11.44</v>
      </c>
      <c r="Q76" s="3" t="n">
        <v>79</v>
      </c>
      <c r="R76" s="3" t="n">
        <v>6.5</v>
      </c>
      <c r="S76" s="3">
        <f>IF(OR(Q76="",R76="",Q76=0),"",R76/Q76*100)</f>
        <v/>
      </c>
    </row>
    <row r="77" ht="16" customHeight="1">
      <c r="A77" s="2" t="inlineStr">
        <is>
          <t>2227</t>
        </is>
      </c>
      <c r="B77" s="2" t="inlineStr">
        <is>
          <t>裕日車</t>
        </is>
      </c>
      <c r="C77" s="2" t="inlineStr">
        <is>
          <t>汽車</t>
        </is>
      </c>
      <c r="D77" s="3" t="n">
        <v>11.08</v>
      </c>
      <c r="E77" s="3" t="n">
        <v>-4.18</v>
      </c>
      <c r="F77" s="3" t="n">
        <v>-8.42</v>
      </c>
      <c r="G77" s="3" t="n">
        <v>5.9</v>
      </c>
      <c r="H77" s="3" t="n">
        <v>-6.24</v>
      </c>
      <c r="I77" s="3" t="n">
        <v>-14.46</v>
      </c>
      <c r="J77" s="4">
        <f>IF(OR(D77="",G77=""),"",G77-D77)</f>
        <v/>
      </c>
      <c r="K77" s="4">
        <f>IF(OR(E77="",H77=""),"",H77-E77)</f>
        <v/>
      </c>
      <c r="L77" s="4">
        <f>IF(OR(F77="",I77=""),"",I77-F77)</f>
        <v/>
      </c>
      <c r="M77" s="3" t="n">
        <v>-0.89</v>
      </c>
      <c r="N77" s="3" t="n">
        <v>-2.6</v>
      </c>
      <c r="O77" s="3" t="n">
        <v>-1.71</v>
      </c>
      <c r="P77" s="3" t="n"/>
      <c r="Q77" s="3" t="n">
        <v>42.1</v>
      </c>
      <c r="R77" s="3" t="n">
        <v>0.84</v>
      </c>
      <c r="S77" s="3">
        <f>IF(OR(Q77="",R77="",Q77=0),"",R77/Q77*100)</f>
        <v/>
      </c>
    </row>
    <row r="78" ht="16" customHeight="1">
      <c r="A78" s="2" t="inlineStr">
        <is>
          <t>2247</t>
        </is>
      </c>
      <c r="B78" s="2" t="inlineStr">
        <is>
          <t>汎德永業</t>
        </is>
      </c>
      <c r="C78" s="2" t="inlineStr">
        <is>
          <t>汽車</t>
        </is>
      </c>
      <c r="D78" s="3" t="n">
        <v>11.96</v>
      </c>
      <c r="E78" s="3" t="n">
        <v>2.55</v>
      </c>
      <c r="F78" s="3" t="n">
        <v>2.12</v>
      </c>
      <c r="G78" s="3" t="n">
        <v>11.38</v>
      </c>
      <c r="H78" s="3" t="n">
        <v>3.51</v>
      </c>
      <c r="I78" s="3" t="n">
        <v>2.9</v>
      </c>
      <c r="J78" s="4">
        <f>IF(OR(D78="",G78=""),"",G78-D78)</f>
        <v/>
      </c>
      <c r="K78" s="4">
        <f>IF(OR(E78="",H78=""),"",H78-E78)</f>
        <v/>
      </c>
      <c r="L78" s="4">
        <f>IF(OR(F78="",I78=""),"",I78-F78)</f>
        <v/>
      </c>
      <c r="M78" s="3" t="n">
        <v>2.35</v>
      </c>
      <c r="N78" s="3" t="n">
        <v>6.55</v>
      </c>
      <c r="O78" s="3" t="n">
        <v>4.2</v>
      </c>
      <c r="P78" s="3" t="n">
        <v>16.2</v>
      </c>
      <c r="Q78" s="3" t="n">
        <v>218</v>
      </c>
      <c r="R78" s="3" t="n">
        <v>14.5</v>
      </c>
      <c r="S78" s="3">
        <f>IF(OR(Q78="",R78="",Q78=0),"",R78/Q78*100)</f>
        <v/>
      </c>
    </row>
    <row r="79" ht="16" customHeight="1">
      <c r="A79" s="2" t="inlineStr">
        <is>
          <t>2258</t>
        </is>
      </c>
      <c r="B79" s="2" t="inlineStr">
        <is>
          <t>鴻華先進</t>
        </is>
      </c>
      <c r="C79" s="2" t="inlineStr">
        <is>
          <t>創新版股票</t>
        </is>
      </c>
      <c r="D79" s="3" t="n">
        <v>13.66</v>
      </c>
      <c r="E79" s="3" t="n">
        <v>-106.76</v>
      </c>
      <c r="F79" s="3" t="n">
        <v>-109.79</v>
      </c>
      <c r="G79" s="3" t="n">
        <v>10.29</v>
      </c>
      <c r="H79" s="3" t="n">
        <v>-75.02</v>
      </c>
      <c r="I79" s="3" t="n">
        <v>-74.98</v>
      </c>
      <c r="J79" s="4">
        <f>IF(OR(D79="",G79=""),"",G79-D79)</f>
        <v/>
      </c>
      <c r="K79" s="4">
        <f>IF(OR(E79="",H79=""),"",H79-E79)</f>
        <v/>
      </c>
      <c r="L79" s="4">
        <f>IF(OR(F79="",I79=""),"",I79-F79)</f>
        <v/>
      </c>
      <c r="M79" s="3" t="n">
        <v>-0.51</v>
      </c>
      <c r="N79" s="3" t="n">
        <v>-1.14</v>
      </c>
      <c r="O79" s="3" t="n">
        <v>-0.63</v>
      </c>
      <c r="P79" s="3" t="n"/>
      <c r="Q79" s="3" t="n">
        <v>30.05</v>
      </c>
      <c r="R79" s="3" t="n"/>
      <c r="S79" s="3">
        <f>IF(OR(Q79="",R79="",Q79=0),"",R79/Q79*100)</f>
        <v/>
      </c>
    </row>
    <row r="80" ht="16" customHeight="1">
      <c r="A80" s="2" t="inlineStr">
        <is>
          <t>2301</t>
        </is>
      </c>
      <c r="B80" s="2" t="inlineStr">
        <is>
          <t>光寶科</t>
        </is>
      </c>
      <c r="C80" s="2" t="inlineStr">
        <is>
          <t>電子工業</t>
        </is>
      </c>
      <c r="D80" s="3" t="n">
        <v>21.66</v>
      </c>
      <c r="E80" s="3" t="n">
        <v>9.44</v>
      </c>
      <c r="F80" s="3" t="n">
        <v>8.699999999999999</v>
      </c>
      <c r="G80" s="3" t="n">
        <v>27.22</v>
      </c>
      <c r="H80" s="3" t="n">
        <v>15.56</v>
      </c>
      <c r="I80" s="3" t="n">
        <v>13.52</v>
      </c>
      <c r="J80" s="4">
        <f>IF(OR(D80="",G80=""),"",G80-D80)</f>
        <v/>
      </c>
      <c r="K80" s="4">
        <f>IF(OR(E80="",H80=""),"",H80-E80)</f>
        <v/>
      </c>
      <c r="L80" s="4">
        <f>IF(OR(F80="",I80=""),"",I80-F80)</f>
        <v/>
      </c>
      <c r="M80" s="3" t="n">
        <v>1.66</v>
      </c>
      <c r="N80" s="3" t="n">
        <v>4.79</v>
      </c>
      <c r="O80" s="3" t="n">
        <v>3.13</v>
      </c>
      <c r="P80" s="3" t="n">
        <v>31.23</v>
      </c>
      <c r="Q80" s="3" t="n">
        <v>240.5</v>
      </c>
      <c r="R80" s="3" t="n">
        <v>5.5</v>
      </c>
      <c r="S80" s="3">
        <f>IF(OR(Q80="",R80="",Q80=0),"",R80/Q80*100)</f>
        <v/>
      </c>
    </row>
    <row r="81" ht="16" customHeight="1">
      <c r="A81" s="2" t="inlineStr">
        <is>
          <t>2303</t>
        </is>
      </c>
      <c r="B81" s="2" t="inlineStr">
        <is>
          <t>聯電</t>
        </is>
      </c>
      <c r="C81" s="2" t="inlineStr">
        <is>
          <t>半導體業</t>
        </is>
      </c>
      <c r="D81" s="3" t="n">
        <v>29.19</v>
      </c>
      <c r="E81" s="3" t="n">
        <v>18.47</v>
      </c>
      <c r="F81" s="3" t="n">
        <v>26.4</v>
      </c>
      <c r="G81" s="3" t="n">
        <v>32.47</v>
      </c>
      <c r="H81" s="3" t="n">
        <v>21.75</v>
      </c>
      <c r="I81" s="3" t="n">
        <v>61.44</v>
      </c>
      <c r="J81" s="4">
        <f>IF(OR(D81="",G81=""),"",G81-D81)</f>
        <v/>
      </c>
      <c r="K81" s="4">
        <f>IF(OR(E81="",H81=""),"",H81-E81)</f>
        <v/>
      </c>
      <c r="L81" s="4">
        <f>IF(OR(F81="",I81=""),"",I81-F81)</f>
        <v/>
      </c>
      <c r="M81" s="3" t="n">
        <v>1.29</v>
      </c>
      <c r="N81" s="3" t="n">
        <v>4.67</v>
      </c>
      <c r="O81" s="3" t="n">
        <v>3.38</v>
      </c>
      <c r="P81" s="3" t="n">
        <v>18.2</v>
      </c>
      <c r="Q81" s="3" t="n">
        <v>111.5</v>
      </c>
      <c r="R81" s="3" t="n">
        <v>2.61</v>
      </c>
      <c r="S81" s="3">
        <f>IF(OR(Q81="",R81="",Q81=0),"",R81/Q81*100)</f>
        <v/>
      </c>
    </row>
    <row r="82" ht="16" customHeight="1">
      <c r="A82" s="2" t="inlineStr">
        <is>
          <t>2308</t>
        </is>
      </c>
      <c r="B82" s="2" t="inlineStr">
        <is>
          <t>台達電</t>
        </is>
      </c>
      <c r="C82" s="2" t="inlineStr">
        <is>
          <t>電子工業</t>
        </is>
      </c>
      <c r="D82" s="3" t="n">
        <v>37</v>
      </c>
      <c r="E82" s="3" t="n">
        <v>17.83</v>
      </c>
      <c r="F82" s="3" t="n">
        <v>14.96</v>
      </c>
      <c r="G82" s="3" t="n">
        <v>35.64</v>
      </c>
      <c r="H82" s="3" t="n">
        <v>16.69</v>
      </c>
      <c r="I82" s="3" t="n">
        <v>14.83</v>
      </c>
      <c r="J82" s="4">
        <f>IF(OR(D82="",G82=""),"",G82-D82)</f>
        <v/>
      </c>
      <c r="K82" s="4">
        <f>IF(OR(E82="",H82=""),"",H82-E82)</f>
        <v/>
      </c>
      <c r="L82" s="4">
        <f>IF(OR(F82="",I82=""),"",I82-F82)</f>
        <v/>
      </c>
      <c r="M82" s="3" t="n">
        <v>7.91</v>
      </c>
      <c r="N82" s="3" t="n">
        <v>16.93</v>
      </c>
      <c r="O82" s="3" t="n">
        <v>9.02</v>
      </c>
      <c r="P82" s="3" t="n">
        <v>59.99</v>
      </c>
      <c r="Q82" s="3" t="n">
        <v>1335</v>
      </c>
      <c r="R82" s="3" t="n">
        <v>11.6</v>
      </c>
      <c r="S82" s="3">
        <f>IF(OR(Q82="",R82="",Q82=0),"",R82/Q82*100)</f>
        <v/>
      </c>
    </row>
    <row r="83" ht="16" customHeight="1">
      <c r="A83" s="2" t="inlineStr">
        <is>
          <t>2312</t>
        </is>
      </c>
      <c r="B83" s="2" t="inlineStr">
        <is>
          <t>金寶</t>
        </is>
      </c>
      <c r="C83" s="2" t="inlineStr">
        <is>
          <t>其他電子業</t>
        </is>
      </c>
      <c r="D83" s="3" t="n">
        <v>6.87</v>
      </c>
      <c r="E83" s="3" t="n">
        <v>2.47</v>
      </c>
      <c r="F83" s="3" t="n">
        <v>2.01</v>
      </c>
      <c r="G83" s="3" t="n">
        <v>6.89</v>
      </c>
      <c r="H83" s="3" t="n">
        <v>3.13</v>
      </c>
      <c r="I83" s="3" t="n">
        <v>1.98</v>
      </c>
      <c r="J83" s="4">
        <f>IF(OR(D83="",G83=""),"",G83-D83)</f>
        <v/>
      </c>
      <c r="K83" s="4">
        <f>IF(OR(E83="",H83=""),"",H83-E83)</f>
        <v/>
      </c>
      <c r="L83" s="4">
        <f>IF(OR(F83="",I83=""),"",I83-F83)</f>
        <v/>
      </c>
      <c r="M83" s="3" t="n">
        <v>0.35</v>
      </c>
      <c r="N83" s="3" t="n">
        <v>0.7</v>
      </c>
      <c r="O83" s="3" t="n">
        <v>0.35</v>
      </c>
      <c r="P83" s="3" t="n">
        <v>28.36</v>
      </c>
      <c r="Q83" s="3" t="n">
        <v>29.65</v>
      </c>
      <c r="R83" s="3" t="n">
        <v>0.6</v>
      </c>
      <c r="S83" s="3">
        <f>IF(OR(Q83="",R83="",Q83=0),"",R83/Q83*100)</f>
        <v/>
      </c>
    </row>
    <row r="84" ht="16" customHeight="1">
      <c r="A84" s="2" t="inlineStr">
        <is>
          <t>2313</t>
        </is>
      </c>
      <c r="B84" s="2" t="inlineStr">
        <is>
          <t>華通</t>
        </is>
      </c>
      <c r="C84" s="2" t="inlineStr">
        <is>
          <t>電子工業</t>
        </is>
      </c>
      <c r="D84" s="3" t="n">
        <v>17.98</v>
      </c>
      <c r="E84" s="3" t="n">
        <v>9.92</v>
      </c>
      <c r="F84" s="3" t="n">
        <v>7.69</v>
      </c>
      <c r="G84" s="3" t="n">
        <v>18.51</v>
      </c>
      <c r="H84" s="3" t="n">
        <v>9.77</v>
      </c>
      <c r="I84" s="3" t="n">
        <v>7.39</v>
      </c>
      <c r="J84" s="4">
        <f>IF(OR(D84="",G84=""),"",G84-D84)</f>
        <v/>
      </c>
      <c r="K84" s="4">
        <f>IF(OR(E84="",H84=""),"",H84-E84)</f>
        <v/>
      </c>
      <c r="L84" s="4">
        <f>IF(OR(F84="",I84=""),"",I84-F84)</f>
        <v/>
      </c>
      <c r="M84" s="3" t="n">
        <v>1.26</v>
      </c>
      <c r="N84" s="3" t="n">
        <v>2.5</v>
      </c>
      <c r="O84" s="3" t="n">
        <v>1.24</v>
      </c>
      <c r="P84" s="3" t="n">
        <v>34.7</v>
      </c>
      <c r="Q84" s="3" t="n">
        <v>202</v>
      </c>
      <c r="R84" s="3" t="n">
        <v>2.8</v>
      </c>
      <c r="S84" s="3">
        <f>IF(OR(Q84="",R84="",Q84=0),"",R84/Q84*100)</f>
        <v/>
      </c>
    </row>
    <row r="85" ht="16" customHeight="1">
      <c r="A85" s="2" t="inlineStr">
        <is>
          <t>2316</t>
        </is>
      </c>
      <c r="B85" s="2" t="inlineStr">
        <is>
          <t>楠梓電</t>
        </is>
      </c>
      <c r="C85" s="2" t="inlineStr">
        <is>
          <t>電子工業</t>
        </is>
      </c>
      <c r="D85" s="3" t="n">
        <v>6.2</v>
      </c>
      <c r="E85" s="3" t="n">
        <v>-7.14</v>
      </c>
      <c r="F85" s="3" t="n">
        <v>62.57</v>
      </c>
      <c r="G85" s="3" t="n">
        <v>-3.53</v>
      </c>
      <c r="H85" s="3" t="n">
        <v>-16.31</v>
      </c>
      <c r="I85" s="3" t="n">
        <v>48.37</v>
      </c>
      <c r="J85" s="4">
        <f>IF(OR(D85="",G85=""),"",G85-D85)</f>
        <v/>
      </c>
      <c r="K85" s="4">
        <f>IF(OR(E85="",H85=""),"",H85-E85)</f>
        <v/>
      </c>
      <c r="L85" s="4">
        <f>IF(OR(F85="",I85=""),"",I85-F85)</f>
        <v/>
      </c>
      <c r="M85" s="3" t="n">
        <v>3.53</v>
      </c>
      <c r="N85" s="3" t="n">
        <v>6.55</v>
      </c>
      <c r="O85" s="3" t="n">
        <v>3.02</v>
      </c>
      <c r="P85" s="3" t="n">
        <v>11.08</v>
      </c>
      <c r="Q85" s="3" t="n">
        <v>135.5</v>
      </c>
      <c r="R85" s="3" t="n">
        <v>2</v>
      </c>
      <c r="S85" s="3">
        <f>IF(OR(Q85="",R85="",Q85=0),"",R85/Q85*100)</f>
        <v/>
      </c>
    </row>
    <row r="86" ht="16" customHeight="1">
      <c r="A86" s="2" t="inlineStr">
        <is>
          <t>2317</t>
        </is>
      </c>
      <c r="B86" s="2" t="inlineStr">
        <is>
          <t>鴻海</t>
        </is>
      </c>
      <c r="C86" s="2" t="inlineStr">
        <is>
          <t>其他電子業</t>
        </is>
      </c>
      <c r="D86" s="3" t="n">
        <v>6.18</v>
      </c>
      <c r="E86" s="3" t="n">
        <v>3.57</v>
      </c>
      <c r="F86" s="3" t="n">
        <v>2.69</v>
      </c>
      <c r="G86" s="3" t="n">
        <v>6.13</v>
      </c>
      <c r="H86" s="3" t="n">
        <v>3.75</v>
      </c>
      <c r="I86" s="3" t="n">
        <v>2.77</v>
      </c>
      <c r="J86" s="4">
        <f>IF(OR(D86="",G86=""),"",G86-D86)</f>
        <v/>
      </c>
      <c r="K86" s="4">
        <f>IF(OR(E86="",H86=""),"",H86-E86)</f>
        <v/>
      </c>
      <c r="L86" s="4">
        <f>IF(OR(F86="",I86=""),"",I86-F86)</f>
        <v/>
      </c>
      <c r="M86" s="3" t="n">
        <v>3.56</v>
      </c>
      <c r="N86" s="3" t="n">
        <v>7.93</v>
      </c>
      <c r="O86" s="3" t="n">
        <v>4.37</v>
      </c>
      <c r="P86" s="3" t="n">
        <v>17.11</v>
      </c>
      <c r="Q86" s="3" t="n">
        <v>245.5</v>
      </c>
      <c r="R86" s="3" t="n">
        <v>7.17</v>
      </c>
      <c r="S86" s="3">
        <f>IF(OR(Q86="",R86="",Q86=0),"",R86/Q86*100)</f>
        <v/>
      </c>
    </row>
    <row r="87" ht="16" customHeight="1">
      <c r="A87" s="2" t="inlineStr">
        <is>
          <t>2324</t>
        </is>
      </c>
      <c r="B87" s="2" t="inlineStr">
        <is>
          <t>仁寶</t>
        </is>
      </c>
      <c r="C87" s="2" t="inlineStr">
        <is>
          <t>電子工業</t>
        </is>
      </c>
      <c r="D87" s="3" t="n">
        <v>5.26</v>
      </c>
      <c r="E87" s="3" t="n">
        <v>1.31</v>
      </c>
      <c r="F87" s="3" t="n">
        <v>1.19</v>
      </c>
      <c r="G87" s="3" t="n">
        <v>4.63</v>
      </c>
      <c r="H87" s="3" t="n">
        <v>1.2</v>
      </c>
      <c r="I87" s="3" t="n">
        <v>1.51</v>
      </c>
      <c r="J87" s="4">
        <f>IF(OR(D87="",G87=""),"",G87-D87)</f>
        <v/>
      </c>
      <c r="K87" s="4">
        <f>IF(OR(E87="",H87=""),"",H87-E87)</f>
        <v/>
      </c>
      <c r="L87" s="4">
        <f>IF(OR(F87="",I87=""),"",I87-F87)</f>
        <v/>
      </c>
      <c r="M87" s="3" t="n">
        <v>0.45</v>
      </c>
      <c r="N87" s="3" t="n">
        <v>1.13</v>
      </c>
      <c r="O87" s="3" t="n">
        <v>0.68</v>
      </c>
      <c r="P87" s="3" t="n">
        <v>21.71</v>
      </c>
      <c r="Q87" s="3" t="n">
        <v>35.2</v>
      </c>
      <c r="R87" s="3" t="n">
        <v>1.1</v>
      </c>
      <c r="S87" s="3">
        <f>IF(OR(Q87="",R87="",Q87=0),"",R87/Q87*100)</f>
        <v/>
      </c>
    </row>
    <row r="88" ht="16" customHeight="1">
      <c r="A88" s="2" t="inlineStr">
        <is>
          <t>2327</t>
        </is>
      </c>
      <c r="B88" s="2" t="inlineStr">
        <is>
          <t>國巨</t>
        </is>
      </c>
      <c r="C88" s="2" t="inlineStr">
        <is>
          <t>電子工業</t>
        </is>
      </c>
      <c r="D88" s="3" t="n">
        <v>38.1</v>
      </c>
      <c r="E88" s="3" t="n">
        <v>25.19</v>
      </c>
      <c r="F88" s="3" t="n">
        <v>21.06</v>
      </c>
      <c r="G88" s="3" t="n">
        <v>38.51</v>
      </c>
      <c r="H88" s="3" t="n">
        <v>26.42</v>
      </c>
      <c r="I88" s="3" t="n">
        <v>21.26</v>
      </c>
      <c r="J88" s="4">
        <f>IF(OR(D88="",G88=""),"",G88-D88)</f>
        <v/>
      </c>
      <c r="K88" s="4">
        <f>IF(OR(E88="",H88=""),"",H88-E88)</f>
        <v/>
      </c>
      <c r="L88" s="4">
        <f>IF(OR(F88="",I88=""),"",I88-F88)</f>
        <v/>
      </c>
      <c r="M88" s="3" t="n">
        <v>3.9</v>
      </c>
      <c r="N88" s="3" t="n">
        <v>8.49</v>
      </c>
      <c r="O88" s="3" t="n">
        <v>4.59</v>
      </c>
      <c r="P88" s="3" t="n">
        <v>41.89</v>
      </c>
      <c r="Q88" s="3" t="n">
        <v>502</v>
      </c>
      <c r="R88" s="3" t="n">
        <v>6</v>
      </c>
      <c r="S88" s="3">
        <f>IF(OR(Q88="",R88="",Q88=0),"",R88/Q88*100)</f>
        <v/>
      </c>
    </row>
    <row r="89" ht="16" customHeight="1">
      <c r="A89" s="2" t="inlineStr">
        <is>
          <t>2328</t>
        </is>
      </c>
      <c r="B89" s="2" t="inlineStr">
        <is>
          <t>廣宇</t>
        </is>
      </c>
      <c r="C89" s="2" t="inlineStr">
        <is>
          <t>電子零組件</t>
        </is>
      </c>
      <c r="D89" s="3" t="n">
        <v>7.79</v>
      </c>
      <c r="E89" s="3" t="n">
        <v>-0.34</v>
      </c>
      <c r="F89" s="3" t="n">
        <v>-2.53</v>
      </c>
      <c r="G89" s="3" t="n">
        <v>8.550000000000001</v>
      </c>
      <c r="H89" s="3" t="n">
        <v>0.27</v>
      </c>
      <c r="I89" s="3" t="n">
        <v>-0.96</v>
      </c>
      <c r="J89" s="4">
        <f>IF(OR(D89="",G89=""),"",G89-D89)</f>
        <v/>
      </c>
      <c r="K89" s="4">
        <f>IF(OR(E89="",H89=""),"",H89-E89)</f>
        <v/>
      </c>
      <c r="L89" s="4">
        <f>IF(OR(F89="",I89=""),"",I89-F89)</f>
        <v/>
      </c>
      <c r="M89" s="3" t="n">
        <v>-0.16</v>
      </c>
      <c r="N89" s="3" t="n">
        <v>-0.24</v>
      </c>
      <c r="O89" s="3" t="n">
        <v>-0.08</v>
      </c>
      <c r="P89" s="3" t="n">
        <v>104.42</v>
      </c>
      <c r="Q89" s="3" t="n">
        <v>50.6</v>
      </c>
      <c r="R89" s="3" t="n">
        <v>0.9</v>
      </c>
      <c r="S89" s="3">
        <f>IF(OR(Q89="",R89="",Q89=0),"",R89/Q89*100)</f>
        <v/>
      </c>
    </row>
    <row r="90" ht="16" customHeight="1">
      <c r="A90" s="2" t="inlineStr">
        <is>
          <t>2329</t>
        </is>
      </c>
      <c r="B90" s="2" t="inlineStr">
        <is>
          <t>華泰</t>
        </is>
      </c>
      <c r="C90" s="2" t="inlineStr">
        <is>
          <t>半導體業</t>
        </is>
      </c>
      <c r="D90" s="3" t="n">
        <v>12.79</v>
      </c>
      <c r="E90" s="3" t="n">
        <v>5.61</v>
      </c>
      <c r="F90" s="3" t="n">
        <v>4.83</v>
      </c>
      <c r="G90" s="3" t="n">
        <v>13.25</v>
      </c>
      <c r="H90" s="3" t="n">
        <v>6.31</v>
      </c>
      <c r="I90" s="3" t="n">
        <v>7.45</v>
      </c>
      <c r="J90" s="4">
        <f>IF(OR(D90="",G90=""),"",G90-D90)</f>
        <v/>
      </c>
      <c r="K90" s="4">
        <f>IF(OR(E90="",H90=""),"",H90-E90)</f>
        <v/>
      </c>
      <c r="L90" s="4">
        <f>IF(OR(F90="",I90=""),"",I90-F90)</f>
        <v/>
      </c>
      <c r="M90" s="3" t="n">
        <v>0.33</v>
      </c>
      <c r="N90" s="3" t="n">
        <v>0.95</v>
      </c>
      <c r="O90" s="3" t="n">
        <v>0.62</v>
      </c>
      <c r="P90" s="3" t="n">
        <v>19.26</v>
      </c>
      <c r="Q90" s="3" t="n">
        <v>39.25</v>
      </c>
      <c r="R90" s="3" t="n">
        <v>1</v>
      </c>
      <c r="S90" s="3">
        <f>IF(OR(Q90="",R90="",Q90=0),"",R90/Q90*100)</f>
        <v/>
      </c>
    </row>
    <row r="91" ht="16" customHeight="1">
      <c r="A91" s="2" t="inlineStr">
        <is>
          <t>2330</t>
        </is>
      </c>
      <c r="B91" s="2" t="inlineStr">
        <is>
          <t>台積電</t>
        </is>
      </c>
      <c r="C91" s="2" t="inlineStr">
        <is>
          <t>半導體業</t>
        </is>
      </c>
      <c r="D91" s="3" t="n">
        <v>66.25</v>
      </c>
      <c r="E91" s="3" t="n">
        <v>58.1</v>
      </c>
      <c r="F91" s="3" t="n">
        <v>50.51</v>
      </c>
      <c r="G91" s="3" t="n">
        <v>67.73</v>
      </c>
      <c r="H91" s="3" t="n">
        <v>60.35</v>
      </c>
      <c r="I91" s="3" t="n">
        <v>55.64</v>
      </c>
      <c r="J91" s="4">
        <f>IF(OR(D91="",G91=""),"",G91-D91)</f>
        <v/>
      </c>
      <c r="K91" s="4">
        <f>IF(OR(E91="",H91=""),"",H91-E91)</f>
        <v/>
      </c>
      <c r="L91" s="4">
        <f>IF(OR(F91="",I91=""),"",I91-F91)</f>
        <v/>
      </c>
      <c r="M91" s="3" t="n">
        <v>22.08</v>
      </c>
      <c r="N91" s="3" t="n">
        <v>49.33</v>
      </c>
      <c r="O91" s="3" t="n">
        <v>27.25</v>
      </c>
      <c r="P91" s="3" t="n">
        <v>32.47</v>
      </c>
      <c r="Q91" s="3" t="n">
        <v>2370</v>
      </c>
      <c r="R91" s="3" t="n">
        <v>12</v>
      </c>
      <c r="S91" s="3">
        <f>IF(OR(Q91="",R91="",Q91=0),"",R91/Q91*100)</f>
        <v/>
      </c>
    </row>
    <row r="92" ht="16" customHeight="1">
      <c r="A92" s="2" t="inlineStr">
        <is>
          <t>2332</t>
        </is>
      </c>
      <c r="B92" s="2" t="inlineStr">
        <is>
          <t>友訊</t>
        </is>
      </c>
      <c r="C92" s="2" t="inlineStr">
        <is>
          <t>通訊網路</t>
        </is>
      </c>
      <c r="D92" s="3" t="n">
        <v>25.27</v>
      </c>
      <c r="E92" s="3" t="n">
        <v>0.92</v>
      </c>
      <c r="F92" s="3" t="n">
        <v>-0.57</v>
      </c>
      <c r="G92" s="3" t="n">
        <v>24.09</v>
      </c>
      <c r="H92" s="3" t="n">
        <v>1.8</v>
      </c>
      <c r="I92" s="3" t="n">
        <v>0.36</v>
      </c>
      <c r="J92" s="4">
        <f>IF(OR(D92="",G92=""),"",G92-D92)</f>
        <v/>
      </c>
      <c r="K92" s="4">
        <f>IF(OR(E92="",H92=""),"",H92-E92)</f>
        <v/>
      </c>
      <c r="L92" s="4">
        <f>IF(OR(F92="",I92=""),"",I92-F92)</f>
        <v/>
      </c>
      <c r="M92" s="3" t="n">
        <v>-0.05</v>
      </c>
      <c r="N92" s="3" t="n">
        <v>-0.07000000000000001</v>
      </c>
      <c r="O92" s="3" t="n">
        <v>-0.02</v>
      </c>
      <c r="P92" s="3" t="n"/>
      <c r="Q92" s="3" t="n">
        <v>19.4</v>
      </c>
      <c r="R92" s="3" t="n"/>
      <c r="S92" s="3">
        <f>IF(OR(Q92="",R92="",Q92=0),"",R92/Q92*100)</f>
        <v/>
      </c>
    </row>
    <row r="93" ht="16" customHeight="1">
      <c r="A93" s="2" t="inlineStr">
        <is>
          <t>2337</t>
        </is>
      </c>
      <c r="B93" s="2" t="inlineStr">
        <is>
          <t>旺宏</t>
        </is>
      </c>
      <c r="C93" s="2" t="inlineStr">
        <is>
          <t>半導體業</t>
        </is>
      </c>
      <c r="D93" s="3" t="n">
        <v>40.8</v>
      </c>
      <c r="E93" s="3" t="n">
        <v>18.46</v>
      </c>
      <c r="F93" s="3" t="n">
        <v>17</v>
      </c>
      <c r="G93" s="3" t="n">
        <v>64.41</v>
      </c>
      <c r="H93" s="3" t="n">
        <v>46.89</v>
      </c>
      <c r="I93" s="3" t="n">
        <v>40.44</v>
      </c>
      <c r="J93" s="4">
        <f>IF(OR(D93="",G93=""),"",G93-D93)</f>
        <v/>
      </c>
      <c r="K93" s="4">
        <f>IF(OR(E93="",H93=""),"",H93-E93)</f>
        <v/>
      </c>
      <c r="L93" s="4">
        <f>IF(OR(F93="",I93=""),"",I93-F93)</f>
        <v/>
      </c>
      <c r="M93" s="3" t="n">
        <v>0.9</v>
      </c>
      <c r="N93" s="3" t="n">
        <v>4.81</v>
      </c>
      <c r="O93" s="3" t="n">
        <v>3.91</v>
      </c>
      <c r="P93" s="3" t="n">
        <v>32.46</v>
      </c>
      <c r="Q93" s="3" t="n">
        <v>95.40000000000001</v>
      </c>
      <c r="R93" s="3" t="n"/>
      <c r="S93" s="3">
        <f>IF(OR(Q93="",R93="",Q93=0),"",R93/Q93*100)</f>
        <v/>
      </c>
    </row>
    <row r="94" ht="16" customHeight="1">
      <c r="A94" s="2" t="inlineStr">
        <is>
          <t>2338</t>
        </is>
      </c>
      <c r="B94" s="2" t="inlineStr">
        <is>
          <t>光罩</t>
        </is>
      </c>
      <c r="C94" s="2" t="inlineStr">
        <is>
          <t>半導體業</t>
        </is>
      </c>
      <c r="D94" s="3" t="n">
        <v>17.55</v>
      </c>
      <c r="E94" s="3" t="n">
        <v>0.93</v>
      </c>
      <c r="F94" s="3" t="n">
        <v>10.29</v>
      </c>
      <c r="G94" s="3" t="n">
        <v>14.77</v>
      </c>
      <c r="H94" s="3" t="n">
        <v>-0.8</v>
      </c>
      <c r="I94" s="3" t="n">
        <v>1.78</v>
      </c>
      <c r="J94" s="4">
        <f>IF(OR(D94="",G94=""),"",G94-D94)</f>
        <v/>
      </c>
      <c r="K94" s="4">
        <f>IF(OR(E94="",H94=""),"",H94-E94)</f>
        <v/>
      </c>
      <c r="L94" s="4">
        <f>IF(OR(F94="",I94=""),"",I94-F94)</f>
        <v/>
      </c>
      <c r="M94" s="3" t="n">
        <v>0.52</v>
      </c>
      <c r="N94" s="3" t="n">
        <v>0.64</v>
      </c>
      <c r="O94" s="3" t="n">
        <v>0.12</v>
      </c>
      <c r="P94" s="3" t="n"/>
      <c r="Q94" s="3" t="n">
        <v>44.05</v>
      </c>
      <c r="R94" s="3" t="n">
        <v>0</v>
      </c>
      <c r="S94" s="3">
        <f>IF(OR(Q94="",R94="",Q94=0),"",R94/Q94*100)</f>
        <v/>
      </c>
    </row>
    <row r="95" ht="16" customHeight="1">
      <c r="A95" s="2" t="inlineStr">
        <is>
          <t>2344</t>
        </is>
      </c>
      <c r="B95" s="2" t="inlineStr">
        <is>
          <t>華邦電</t>
        </is>
      </c>
      <c r="C95" s="2" t="inlineStr">
        <is>
          <t>半導體業</t>
        </is>
      </c>
      <c r="D95" s="3" t="n">
        <v>53.37</v>
      </c>
      <c r="E95" s="3" t="n">
        <v>32.81</v>
      </c>
      <c r="F95" s="3" t="n">
        <v>26.45</v>
      </c>
      <c r="G95" s="3" t="n">
        <v>66.26000000000001</v>
      </c>
      <c r="H95" s="3" t="n">
        <v>48.43</v>
      </c>
      <c r="I95" s="3" t="n">
        <v>40.43</v>
      </c>
      <c r="J95" s="4">
        <f>IF(OR(D95="",G95=""),"",G95-D95)</f>
        <v/>
      </c>
      <c r="K95" s="4">
        <f>IF(OR(E95="",H95=""),"",H95-E95)</f>
        <v/>
      </c>
      <c r="L95" s="4">
        <f>IF(OR(F95="",I95=""),"",I95-F95)</f>
        <v/>
      </c>
      <c r="M95" s="3" t="n">
        <v>2.25</v>
      </c>
      <c r="N95" s="3" t="n">
        <v>7.63</v>
      </c>
      <c r="O95" s="3" t="n">
        <v>5.38</v>
      </c>
      <c r="P95" s="3" t="n">
        <v>20.23</v>
      </c>
      <c r="Q95" s="3" t="n">
        <v>164.5</v>
      </c>
      <c r="R95" s="3" t="n">
        <v>0.5</v>
      </c>
      <c r="S95" s="3">
        <f>IF(OR(Q95="",R95="",Q95=0),"",R95/Q95*100)</f>
        <v/>
      </c>
    </row>
    <row r="96" ht="16" customHeight="1">
      <c r="A96" s="2" t="inlineStr">
        <is>
          <t>2345</t>
        </is>
      </c>
      <c r="B96" s="2" t="inlineStr">
        <is>
          <t>智邦</t>
        </is>
      </c>
      <c r="C96" s="2" t="inlineStr">
        <is>
          <t>通信網路業</t>
        </is>
      </c>
      <c r="D96" s="3" t="n">
        <v>19.55</v>
      </c>
      <c r="E96" s="3" t="n">
        <v>14.33</v>
      </c>
      <c r="F96" s="3" t="n">
        <v>11.88</v>
      </c>
      <c r="G96" s="3" t="n">
        <v>19.69</v>
      </c>
      <c r="H96" s="3" t="n">
        <v>15.01</v>
      </c>
      <c r="I96" s="3" t="n">
        <v>11.56</v>
      </c>
      <c r="J96" s="4">
        <f>IF(OR(D96="",G96=""),"",G96-D96)</f>
        <v/>
      </c>
      <c r="K96" s="4">
        <f>IF(OR(E96="",H96=""),"",H96-E96)</f>
        <v/>
      </c>
      <c r="L96" s="4">
        <f>IF(OR(F96="",I96=""),"",I96-F96)</f>
        <v/>
      </c>
      <c r="M96" s="3" t="n">
        <v>14.92</v>
      </c>
      <c r="N96" s="3" t="n">
        <v>34.7</v>
      </c>
      <c r="O96" s="3" t="n">
        <v>19.78</v>
      </c>
      <c r="P96" s="3" t="n">
        <v>36.14</v>
      </c>
      <c r="Q96" s="3" t="n">
        <v>1615</v>
      </c>
      <c r="R96" s="3" t="n">
        <v>15</v>
      </c>
      <c r="S96" s="3">
        <f>IF(OR(Q96="",R96="",Q96=0),"",R96/Q96*100)</f>
        <v/>
      </c>
    </row>
    <row r="97" ht="16" customHeight="1">
      <c r="A97" s="2" t="inlineStr">
        <is>
          <t>2347</t>
        </is>
      </c>
      <c r="B97" s="2" t="inlineStr">
        <is>
          <t>聯強</t>
        </is>
      </c>
      <c r="C97" s="2" t="inlineStr">
        <is>
          <t>電子工業</t>
        </is>
      </c>
      <c r="D97" s="3" t="n">
        <v>4.3</v>
      </c>
      <c r="E97" s="3" t="n">
        <v>2.67</v>
      </c>
      <c r="F97" s="3" t="n">
        <v>2.45</v>
      </c>
      <c r="G97" s="3" t="n">
        <v>3.39</v>
      </c>
      <c r="H97" s="3" t="n">
        <v>2.38</v>
      </c>
      <c r="I97" s="3" t="n">
        <v>2.01</v>
      </c>
      <c r="J97" s="4">
        <f>IF(OR(D97="",G97=""),"",G97-D97)</f>
        <v/>
      </c>
      <c r="K97" s="4">
        <f>IF(OR(E97="",H97=""),"",H97-E97)</f>
        <v/>
      </c>
      <c r="L97" s="4">
        <f>IF(OR(F97="",I97=""),"",I97-F97)</f>
        <v/>
      </c>
      <c r="M97" s="3" t="n">
        <v>1.77</v>
      </c>
      <c r="N97" s="3" t="n">
        <v>4.09</v>
      </c>
      <c r="O97" s="3" t="n">
        <v>2.32</v>
      </c>
      <c r="P97" s="3" t="n">
        <v>12.44</v>
      </c>
      <c r="Q97" s="3" t="n">
        <v>99.5</v>
      </c>
      <c r="R97" s="3" t="n">
        <v>4.2</v>
      </c>
      <c r="S97" s="3">
        <f>IF(OR(Q97="",R97="",Q97=0),"",R97/Q97*100)</f>
        <v/>
      </c>
    </row>
    <row r="98" ht="16" customHeight="1">
      <c r="A98" s="2" t="inlineStr">
        <is>
          <t>2351</t>
        </is>
      </c>
      <c r="B98" s="2" t="inlineStr">
        <is>
          <t>順德</t>
        </is>
      </c>
      <c r="C98" s="2" t="inlineStr">
        <is>
          <t>半導體</t>
        </is>
      </c>
      <c r="D98" s="3" t="n">
        <v>19.12</v>
      </c>
      <c r="E98" s="3" t="n">
        <v>9.69</v>
      </c>
      <c r="F98" s="3" t="n">
        <v>8.289999999999999</v>
      </c>
      <c r="G98" s="3" t="n">
        <v>20.72</v>
      </c>
      <c r="H98" s="3" t="n">
        <v>11.71</v>
      </c>
      <c r="I98" s="3" t="n">
        <v>9.050000000000001</v>
      </c>
      <c r="J98" s="4">
        <f>IF(OR(D98="",G98=""),"",G98-D98)</f>
        <v/>
      </c>
      <c r="K98" s="4">
        <f>IF(OR(E98="",H98=""),"",H98-E98)</f>
        <v/>
      </c>
      <c r="L98" s="4">
        <f>IF(OR(F98="",I98=""),"",I98-F98)</f>
        <v/>
      </c>
      <c r="M98" s="3" t="n">
        <v>1.22</v>
      </c>
      <c r="N98" s="3" t="n">
        <v>2.81</v>
      </c>
      <c r="O98" s="3" t="n">
        <v>1.59</v>
      </c>
      <c r="P98" s="3" t="n">
        <v>46.8</v>
      </c>
      <c r="Q98" s="3" t="n">
        <v>183.5</v>
      </c>
      <c r="R98" s="3" t="n">
        <v>1.03</v>
      </c>
      <c r="S98" s="3">
        <f>IF(OR(Q98="",R98="",Q98=0),"",R98/Q98*100)</f>
        <v/>
      </c>
    </row>
    <row r="99" ht="16" customHeight="1">
      <c r="A99" s="2" t="inlineStr">
        <is>
          <t>2352</t>
        </is>
      </c>
      <c r="B99" s="2" t="inlineStr">
        <is>
          <t>佳世達</t>
        </is>
      </c>
      <c r="C99" s="2" t="inlineStr">
        <is>
          <t>電子工業</t>
        </is>
      </c>
      <c r="D99" s="3" t="n">
        <v>16.67</v>
      </c>
      <c r="E99" s="3" t="n">
        <v>1.34</v>
      </c>
      <c r="F99" s="3" t="n">
        <v>0.73</v>
      </c>
      <c r="G99" s="3" t="n">
        <v>17.28</v>
      </c>
      <c r="H99" s="3" t="n">
        <v>1.24</v>
      </c>
      <c r="I99" s="3" t="n">
        <v>1.98</v>
      </c>
      <c r="J99" s="4">
        <f>IF(OR(D99="",G99=""),"",G99-D99)</f>
        <v/>
      </c>
      <c r="K99" s="4">
        <f>IF(OR(E99="",H99=""),"",H99-E99)</f>
        <v/>
      </c>
      <c r="L99" s="4">
        <f>IF(OR(F99="",I99=""),"",I99-F99)</f>
        <v/>
      </c>
      <c r="M99" s="3" t="n">
        <v>0.2</v>
      </c>
      <c r="N99" s="3" t="n">
        <v>0.76</v>
      </c>
      <c r="O99" s="3" t="n">
        <v>0.5600000000000001</v>
      </c>
      <c r="P99" s="3" t="n">
        <v>38.31</v>
      </c>
      <c r="Q99" s="3" t="n">
        <v>33.8</v>
      </c>
      <c r="R99" s="3" t="n">
        <v>1</v>
      </c>
      <c r="S99" s="3">
        <f>IF(OR(Q99="",R99="",Q99=0),"",R99/Q99*100)</f>
        <v/>
      </c>
    </row>
    <row r="100" ht="16" customHeight="1">
      <c r="A100" s="2" t="inlineStr">
        <is>
          <t>2353</t>
        </is>
      </c>
      <c r="B100" s="2" t="inlineStr">
        <is>
          <t>宏碁</t>
        </is>
      </c>
      <c r="C100" s="2" t="inlineStr">
        <is>
          <t>電子工業</t>
        </is>
      </c>
      <c r="D100" s="3" t="n">
        <v>11.16</v>
      </c>
      <c r="E100" s="3" t="n">
        <v>1.11</v>
      </c>
      <c r="F100" s="3" t="n">
        <v>1.85</v>
      </c>
      <c r="G100" s="3" t="n">
        <v>11.38</v>
      </c>
      <c r="H100" s="3" t="n">
        <v>2.09</v>
      </c>
      <c r="I100" s="3" t="n">
        <v>3.27</v>
      </c>
      <c r="J100" s="4">
        <f>IF(OR(D100="",G100=""),"",G100-D100)</f>
        <v/>
      </c>
      <c r="K100" s="4">
        <f>IF(OR(E100="",H100=""),"",H100-E100)</f>
        <v/>
      </c>
      <c r="L100" s="4">
        <f>IF(OR(F100="",I100=""),"",I100-F100)</f>
        <v/>
      </c>
      <c r="M100" s="3" t="n">
        <v>0.23</v>
      </c>
      <c r="N100" s="3" t="n">
        <v>0.71</v>
      </c>
      <c r="O100" s="3" t="n">
        <v>0.48</v>
      </c>
      <c r="P100" s="3" t="n"/>
      <c r="Q100" s="3" t="n">
        <v>30.4</v>
      </c>
      <c r="R100" s="3" t="n">
        <v>1.3</v>
      </c>
      <c r="S100" s="3">
        <f>IF(OR(Q100="",R100="",Q100=0),"",R100/Q100*100)</f>
        <v/>
      </c>
    </row>
    <row r="101" ht="16" customHeight="1">
      <c r="A101" s="2" t="inlineStr">
        <is>
          <t>2354</t>
        </is>
      </c>
      <c r="B101" s="2" t="inlineStr">
        <is>
          <t>鴻準</t>
        </is>
      </c>
      <c r="C101" s="2" t="inlineStr">
        <is>
          <t>其他電子業</t>
        </is>
      </c>
      <c r="D101" s="3" t="n">
        <v>4.84</v>
      </c>
      <c r="E101" s="3" t="n">
        <v>1.48</v>
      </c>
      <c r="F101" s="3" t="n">
        <v>2.59</v>
      </c>
      <c r="G101" s="3" t="n">
        <v>4.03</v>
      </c>
      <c r="H101" s="3" t="n">
        <v>1.14</v>
      </c>
      <c r="I101" s="3" t="n">
        <v>2.88</v>
      </c>
      <c r="J101" s="4">
        <f>IF(OR(D101="",G101=""),"",G101-D101)</f>
        <v/>
      </c>
      <c r="K101" s="4">
        <f>IF(OR(E101="",H101=""),"",H101-E101)</f>
        <v/>
      </c>
      <c r="L101" s="4">
        <f>IF(OR(F101="",I101=""),"",I101-F101)</f>
        <v/>
      </c>
      <c r="M101" s="3" t="n">
        <v>0.47</v>
      </c>
      <c r="N101" s="3" t="n">
        <v>1.1</v>
      </c>
      <c r="O101" s="3" t="n">
        <v>0.63</v>
      </c>
      <c r="P101" s="3" t="n">
        <v>25.51</v>
      </c>
      <c r="Q101" s="3" t="n">
        <v>59.6</v>
      </c>
      <c r="R101" s="3" t="n">
        <v>1.5</v>
      </c>
      <c r="S101" s="3">
        <f>IF(OR(Q101="",R101="",Q101=0),"",R101/Q101*100)</f>
        <v/>
      </c>
    </row>
    <row r="102" ht="16" customHeight="1">
      <c r="A102" s="2" t="inlineStr">
        <is>
          <t>2355</t>
        </is>
      </c>
      <c r="B102" s="2" t="inlineStr">
        <is>
          <t>敬鵬</t>
        </is>
      </c>
      <c r="C102" s="2" t="inlineStr">
        <is>
          <t>電子零組件</t>
        </is>
      </c>
      <c r="D102" s="3" t="n">
        <v>12.08</v>
      </c>
      <c r="E102" s="3" t="n">
        <v>4.8</v>
      </c>
      <c r="F102" s="3" t="n">
        <v>6.08</v>
      </c>
      <c r="G102" s="3" t="n">
        <v>12.18</v>
      </c>
      <c r="H102" s="3" t="n">
        <v>4.41</v>
      </c>
      <c r="I102" s="3" t="n">
        <v>4.24</v>
      </c>
      <c r="J102" s="4">
        <f>IF(OR(D102="",G102=""),"",G102-D102)</f>
        <v/>
      </c>
      <c r="K102" s="4">
        <f>IF(OR(E102="",H102=""),"",H102-E102)</f>
        <v/>
      </c>
      <c r="L102" s="4">
        <f>IF(OR(F102="",I102=""),"",I102-F102)</f>
        <v/>
      </c>
      <c r="M102" s="3" t="n">
        <v>0.62</v>
      </c>
      <c r="N102" s="3" t="n">
        <v>1.07</v>
      </c>
      <c r="O102" s="3" t="n">
        <v>0.45</v>
      </c>
      <c r="P102" s="3" t="n">
        <v>21.95</v>
      </c>
      <c r="Q102" s="3" t="n">
        <v>51</v>
      </c>
      <c r="R102" s="3" t="n">
        <v>1</v>
      </c>
      <c r="S102" s="3">
        <f>IF(OR(Q102="",R102="",Q102=0),"",R102/Q102*100)</f>
        <v/>
      </c>
    </row>
    <row r="103" ht="16" customHeight="1">
      <c r="A103" s="2" t="inlineStr">
        <is>
          <t>2356</t>
        </is>
      </c>
      <c r="B103" s="2" t="inlineStr">
        <is>
          <t>英業達</t>
        </is>
      </c>
      <c r="C103" s="2" t="inlineStr">
        <is>
          <t>電子工業</t>
        </is>
      </c>
      <c r="D103" s="3" t="n">
        <v>5.08</v>
      </c>
      <c r="E103" s="3" t="n">
        <v>1.8</v>
      </c>
      <c r="F103" s="3" t="n">
        <v>1.22</v>
      </c>
      <c r="G103" s="3" t="n">
        <v>4.23</v>
      </c>
      <c r="H103" s="3" t="n">
        <v>1.76</v>
      </c>
      <c r="I103" s="3" t="n">
        <v>1.45</v>
      </c>
      <c r="J103" s="4">
        <f>IF(OR(D103="",G103=""),"",G103-D103)</f>
        <v/>
      </c>
      <c r="K103" s="4">
        <f>IF(OR(E103="",H103=""),"",H103-E103)</f>
        <v/>
      </c>
      <c r="L103" s="4">
        <f>IF(OR(F103="",I103=""),"",I103-F103)</f>
        <v/>
      </c>
      <c r="M103" s="3" t="n">
        <v>0.68</v>
      </c>
      <c r="N103" s="3" t="n">
        <v>1.77</v>
      </c>
      <c r="O103" s="3" t="n">
        <v>1.09</v>
      </c>
      <c r="P103" s="3" t="n">
        <v>20.81</v>
      </c>
      <c r="Q103" s="3" t="n">
        <v>59.5</v>
      </c>
      <c r="R103" s="3" t="n">
        <v>2</v>
      </c>
      <c r="S103" s="3">
        <f>IF(OR(Q103="",R103="",Q103=0),"",R103/Q103*100)</f>
        <v/>
      </c>
    </row>
    <row r="104" ht="16" customHeight="1">
      <c r="A104" s="2" t="inlineStr">
        <is>
          <t>2357</t>
        </is>
      </c>
      <c r="B104" s="2" t="inlineStr">
        <is>
          <t>華碩</t>
        </is>
      </c>
      <c r="C104" s="2" t="inlineStr"/>
      <c r="D104" s="3" t="n">
        <v>14.86</v>
      </c>
      <c r="E104" s="3" t="n">
        <v>5.71</v>
      </c>
      <c r="F104" s="3" t="n">
        <v>5.35</v>
      </c>
      <c r="G104" s="3" t="n">
        <v>17.17</v>
      </c>
      <c r="H104" s="3" t="n">
        <v>8.130000000000001</v>
      </c>
      <c r="I104" s="3" t="n">
        <v>7.9</v>
      </c>
      <c r="J104" s="4">
        <f>IF(OR(D104="",G104=""),"",G104-D104)</f>
        <v/>
      </c>
      <c r="K104" s="4">
        <f>IF(OR(E104="",H104=""),"",H104-E104)</f>
        <v/>
      </c>
      <c r="L104" s="4">
        <f>IF(OR(F104="",I104=""),"",I104-F104)</f>
        <v/>
      </c>
      <c r="M104" s="3" t="n">
        <v>13.19</v>
      </c>
      <c r="N104" s="3" t="n">
        <v>37.25</v>
      </c>
      <c r="O104" s="3" t="n">
        <v>24.06</v>
      </c>
      <c r="P104" s="3" t="n">
        <v>13.35</v>
      </c>
      <c r="Q104" s="3" t="n">
        <v>906</v>
      </c>
      <c r="R104" s="3" t="n">
        <v>42</v>
      </c>
      <c r="S104" s="3">
        <f>IF(OR(Q104="",R104="",Q104=0),"",R104/Q104*100)</f>
        <v/>
      </c>
    </row>
    <row r="105" ht="16" customHeight="1">
      <c r="A105" s="2" t="inlineStr">
        <is>
          <t>2359</t>
        </is>
      </c>
      <c r="B105" s="2" t="inlineStr">
        <is>
          <t>所羅門</t>
        </is>
      </c>
      <c r="C105" s="2" t="inlineStr">
        <is>
          <t>其他電子</t>
        </is>
      </c>
      <c r="D105" s="3" t="n">
        <v>21.44</v>
      </c>
      <c r="E105" s="3" t="n">
        <v>-4.02</v>
      </c>
      <c r="F105" s="3" t="n">
        <v>16.06</v>
      </c>
      <c r="G105" s="3" t="n">
        <v>19.68</v>
      </c>
      <c r="H105" s="3" t="n">
        <v>1.81</v>
      </c>
      <c r="I105" s="3" t="n">
        <v>50.64</v>
      </c>
      <c r="J105" s="4">
        <f>IF(OR(D105="",G105=""),"",G105-D105)</f>
        <v/>
      </c>
      <c r="K105" s="4">
        <f>IF(OR(E105="",H105=""),"",H105-E105)</f>
        <v/>
      </c>
      <c r="L105" s="4">
        <f>IF(OR(F105="",I105=""),"",I105-F105)</f>
        <v/>
      </c>
      <c r="M105" s="3" t="n">
        <v>0.78</v>
      </c>
      <c r="N105" s="3" t="n">
        <v>4.55</v>
      </c>
      <c r="O105" s="3" t="n">
        <v>3.77</v>
      </c>
      <c r="P105" s="3" t="n">
        <v>23.99</v>
      </c>
      <c r="Q105" s="3" t="n">
        <v>113.5</v>
      </c>
      <c r="R105" s="3" t="n"/>
      <c r="S105" s="3">
        <f>IF(OR(Q105="",R105="",Q105=0),"",R105/Q105*100)</f>
        <v/>
      </c>
    </row>
    <row r="106" ht="16" customHeight="1">
      <c r="A106" s="2" t="inlineStr">
        <is>
          <t>2360</t>
        </is>
      </c>
      <c r="B106" s="2" t="inlineStr">
        <is>
          <t>致茂</t>
        </is>
      </c>
      <c r="C106" s="2" t="inlineStr"/>
      <c r="D106" s="3" t="n">
        <v>62.6</v>
      </c>
      <c r="E106" s="3" t="n">
        <v>40.45</v>
      </c>
      <c r="F106" s="3" t="n">
        <v>33.29</v>
      </c>
      <c r="G106" s="3" t="n">
        <v>60.5</v>
      </c>
      <c r="H106" s="3" t="n">
        <v>38.74</v>
      </c>
      <c r="I106" s="3" t="n">
        <v>38.66</v>
      </c>
      <c r="J106" s="4">
        <f>IF(OR(D106="",G106=""),"",G106-D106)</f>
        <v/>
      </c>
      <c r="K106" s="4">
        <f>IF(OR(E106="",H106=""),"",H106-E106)</f>
        <v/>
      </c>
      <c r="L106" s="4">
        <f>IF(OR(F106="",I106=""),"",I106-F106)</f>
        <v/>
      </c>
      <c r="M106" s="3" t="n">
        <v>9.119999999999999</v>
      </c>
      <c r="N106" s="3" t="n">
        <v>21.2</v>
      </c>
      <c r="O106" s="3" t="n">
        <v>12.08</v>
      </c>
      <c r="P106" s="3" t="n">
        <v>54.59</v>
      </c>
      <c r="Q106" s="3" t="n">
        <v>1755</v>
      </c>
      <c r="R106" s="3" t="n">
        <v>19.5</v>
      </c>
      <c r="S106" s="3">
        <f>IF(OR(Q106="",R106="",Q106=0),"",R106/Q106*100)</f>
        <v/>
      </c>
    </row>
    <row r="107" ht="16" customHeight="1">
      <c r="A107" s="2" t="inlineStr">
        <is>
          <t>2362</t>
        </is>
      </c>
      <c r="B107" s="2" t="inlineStr">
        <is>
          <t>藍天</t>
        </is>
      </c>
      <c r="C107" s="2" t="inlineStr">
        <is>
          <t>電子工業</t>
        </is>
      </c>
      <c r="D107" s="3" t="n">
        <v>20.88</v>
      </c>
      <c r="E107" s="3" t="n">
        <v>6.85</v>
      </c>
      <c r="F107" s="3" t="n">
        <v>7.1</v>
      </c>
      <c r="G107" s="3" t="n">
        <v>17.17</v>
      </c>
      <c r="H107" s="3" t="n">
        <v>5.24</v>
      </c>
      <c r="I107" s="3" t="n">
        <v>30.47</v>
      </c>
      <c r="J107" s="4">
        <f>IF(OR(D107="",G107=""),"",G107-D107)</f>
        <v/>
      </c>
      <c r="K107" s="4">
        <f>IF(OR(E107="",H107=""),"",H107-E107)</f>
        <v/>
      </c>
      <c r="L107" s="4">
        <f>IF(OR(F107="",I107=""),"",I107-F107)</f>
        <v/>
      </c>
      <c r="M107" s="3" t="n">
        <v>0.61</v>
      </c>
      <c r="N107" s="3" t="n">
        <v>4.05</v>
      </c>
      <c r="O107" s="3" t="n">
        <v>3.44</v>
      </c>
      <c r="P107" s="3" t="n">
        <v>8.029999999999999</v>
      </c>
      <c r="Q107" s="3" t="n">
        <v>45.95</v>
      </c>
      <c r="R107" s="3" t="n">
        <v>2</v>
      </c>
      <c r="S107" s="3">
        <f>IF(OR(Q107="",R107="",Q107=0),"",R107/Q107*100)</f>
        <v/>
      </c>
    </row>
    <row r="108" ht="16" customHeight="1">
      <c r="A108" s="2" t="inlineStr">
        <is>
          <t>2363</t>
        </is>
      </c>
      <c r="B108" s="2" t="inlineStr">
        <is>
          <t>矽統</t>
        </is>
      </c>
      <c r="C108" s="2" t="inlineStr">
        <is>
          <t>半導體</t>
        </is>
      </c>
      <c r="D108" s="3" t="n">
        <v>28.8</v>
      </c>
      <c r="E108" s="3" t="n">
        <v>7.2</v>
      </c>
      <c r="F108" s="3" t="n">
        <v>8.359999999999999</v>
      </c>
      <c r="G108" s="3" t="n">
        <v>28.08</v>
      </c>
      <c r="H108" s="3" t="n">
        <v>4</v>
      </c>
      <c r="I108" s="3" t="n">
        <v>1.6</v>
      </c>
      <c r="J108" s="4">
        <f>IF(OR(D108="",G108=""),"",G108-D108)</f>
        <v/>
      </c>
      <c r="K108" s="4">
        <f>IF(OR(E108="",H108=""),"",H108-E108)</f>
        <v/>
      </c>
      <c r="L108" s="4">
        <f>IF(OR(F108="",I108=""),"",I108-F108)</f>
        <v/>
      </c>
      <c r="M108" s="3" t="n">
        <v>0.17</v>
      </c>
      <c r="N108" s="3" t="n">
        <v>0.2</v>
      </c>
      <c r="O108" s="3" t="n">
        <v>0.03</v>
      </c>
      <c r="P108" s="3" t="n">
        <v>93.89</v>
      </c>
      <c r="Q108" s="3" t="n">
        <v>50.7</v>
      </c>
      <c r="R108" s="3" t="n">
        <v>0.61</v>
      </c>
      <c r="S108" s="3">
        <f>IF(OR(Q108="",R108="",Q108=0),"",R108/Q108*100)</f>
        <v/>
      </c>
    </row>
    <row r="109" ht="16" customHeight="1">
      <c r="A109" s="2" t="inlineStr">
        <is>
          <t>2367</t>
        </is>
      </c>
      <c r="B109" s="2" t="inlineStr">
        <is>
          <t>燿華</t>
        </is>
      </c>
      <c r="C109" s="2" t="inlineStr">
        <is>
          <t>電子工業</t>
        </is>
      </c>
      <c r="D109" s="3" t="n">
        <v>5.77</v>
      </c>
      <c r="E109" s="3" t="n">
        <v>-7.71</v>
      </c>
      <c r="F109" s="3" t="n">
        <v>-7.3</v>
      </c>
      <c r="G109" s="3" t="n">
        <v>7.19</v>
      </c>
      <c r="H109" s="3" t="n">
        <v>-5.35</v>
      </c>
      <c r="I109" s="3" t="n">
        <v>-4.06</v>
      </c>
      <c r="J109" s="4">
        <f>IF(OR(D109="",G109=""),"",G109-D109)</f>
        <v/>
      </c>
      <c r="K109" s="4">
        <f>IF(OR(E109="",H109=""),"",H109-E109)</f>
        <v/>
      </c>
      <c r="L109" s="4">
        <f>IF(OR(F109="",I109=""),"",I109-F109)</f>
        <v/>
      </c>
      <c r="M109" s="3" t="n">
        <v>-0.4</v>
      </c>
      <c r="N109" s="3" t="n">
        <v>-0.64</v>
      </c>
      <c r="O109" s="3" t="n">
        <v>-0.24</v>
      </c>
      <c r="P109" s="3" t="n"/>
      <c r="Q109" s="3" t="n">
        <v>40.55</v>
      </c>
      <c r="R109" s="3" t="n"/>
      <c r="S109" s="3">
        <f>IF(OR(Q109="",R109="",Q109=0),"",R109/Q109*100)</f>
        <v/>
      </c>
    </row>
    <row r="110" ht="16" customHeight="1">
      <c r="A110" s="2" t="inlineStr">
        <is>
          <t>2368</t>
        </is>
      </c>
      <c r="B110" s="2" t="inlineStr">
        <is>
          <t>金像電</t>
        </is>
      </c>
      <c r="C110" s="2" t="inlineStr">
        <is>
          <t>電子工業</t>
        </is>
      </c>
      <c r="D110" s="3" t="n">
        <v>34.81</v>
      </c>
      <c r="E110" s="3" t="n">
        <v>26.85</v>
      </c>
      <c r="F110" s="3" t="n">
        <v>18.04</v>
      </c>
      <c r="G110" s="3" t="n">
        <v>34.65</v>
      </c>
      <c r="H110" s="3" t="n">
        <v>26.44</v>
      </c>
      <c r="I110" s="3" t="n">
        <v>19.69</v>
      </c>
      <c r="J110" s="4">
        <f>IF(OR(D110="",G110=""),"",G110-D110)</f>
        <v/>
      </c>
      <c r="K110" s="4">
        <f>IF(OR(E110="",H110=""),"",H110-E110)</f>
        <v/>
      </c>
      <c r="L110" s="4">
        <f>IF(OR(F110="",I110=""),"",I110-F110)</f>
        <v/>
      </c>
      <c r="M110" s="3" t="n">
        <v>6.87</v>
      </c>
      <c r="N110" s="3" t="n">
        <v>16.3</v>
      </c>
      <c r="O110" s="3" t="n">
        <v>9.43</v>
      </c>
      <c r="P110" s="3" t="n">
        <v>36.79</v>
      </c>
      <c r="Q110" s="3" t="n">
        <v>1020</v>
      </c>
      <c r="R110" s="3" t="n">
        <v>9.800000000000001</v>
      </c>
      <c r="S110" s="3">
        <f>IF(OR(Q110="",R110="",Q110=0),"",R110/Q110*100)</f>
        <v/>
      </c>
    </row>
    <row r="111" ht="16" customHeight="1">
      <c r="A111" s="2" t="inlineStr">
        <is>
          <t>2371</t>
        </is>
      </c>
      <c r="B111" s="2" t="inlineStr">
        <is>
          <t>大同</t>
        </is>
      </c>
      <c r="C111" s="2" t="inlineStr">
        <is>
          <t>電機機械</t>
        </is>
      </c>
      <c r="D111" s="3" t="n">
        <v>16.44</v>
      </c>
      <c r="E111" s="3" t="n">
        <v>3.77</v>
      </c>
      <c r="F111" s="3" t="n">
        <v>-0.68</v>
      </c>
      <c r="G111" s="3" t="n">
        <v>17.37</v>
      </c>
      <c r="H111" s="3" t="n">
        <v>5.26</v>
      </c>
      <c r="I111" s="3" t="n">
        <v>16.34</v>
      </c>
      <c r="J111" s="4">
        <f>IF(OR(D111="",G111=""),"",G111-D111)</f>
        <v/>
      </c>
      <c r="K111" s="4">
        <f>IF(OR(E111="",H111=""),"",H111-E111)</f>
        <v/>
      </c>
      <c r="L111" s="4">
        <f>IF(OR(F111="",I111=""),"",I111-F111)</f>
        <v/>
      </c>
      <c r="M111" s="3" t="n">
        <v>-0.05</v>
      </c>
      <c r="N111" s="3" t="n">
        <v>1.32</v>
      </c>
      <c r="O111" s="3" t="n">
        <v>1.37</v>
      </c>
      <c r="P111" s="3" t="n"/>
      <c r="Q111" s="3" t="n">
        <v>27.95</v>
      </c>
      <c r="R111" s="3" t="n"/>
      <c r="S111" s="3">
        <f>IF(OR(Q111="",R111="",Q111=0),"",R111/Q111*100)</f>
        <v/>
      </c>
    </row>
    <row r="112" ht="16" customHeight="1">
      <c r="A112" s="2" t="inlineStr">
        <is>
          <t>2374</t>
        </is>
      </c>
      <c r="B112" s="2" t="inlineStr">
        <is>
          <t>佳能</t>
        </is>
      </c>
      <c r="C112" s="2" t="inlineStr">
        <is>
          <t>光電</t>
        </is>
      </c>
      <c r="D112" s="3" t="n">
        <v>24.31</v>
      </c>
      <c r="E112" s="3" t="n">
        <v>9.09</v>
      </c>
      <c r="F112" s="3" t="n">
        <v>8.960000000000001</v>
      </c>
      <c r="G112" s="3" t="n">
        <v>24.07</v>
      </c>
      <c r="H112" s="3" t="n">
        <v>10.45</v>
      </c>
      <c r="I112" s="3" t="n">
        <v>8.84</v>
      </c>
      <c r="J112" s="4">
        <f>IF(OR(D112="",G112=""),"",G112-D112)</f>
        <v/>
      </c>
      <c r="K112" s="4">
        <f>IF(OR(E112="",H112=""),"",H112-E112)</f>
        <v/>
      </c>
      <c r="L112" s="4">
        <f>IF(OR(F112="",I112=""),"",I112-F112)</f>
        <v/>
      </c>
      <c r="M112" s="3" t="n">
        <v>0.73</v>
      </c>
      <c r="N112" s="3" t="n">
        <v>1.55</v>
      </c>
      <c r="O112" s="3" t="n">
        <v>0.82</v>
      </c>
      <c r="P112" s="3" t="n">
        <v>20.71</v>
      </c>
      <c r="Q112" s="3" t="n">
        <v>63.2</v>
      </c>
      <c r="R112" s="3" t="n">
        <v>1.99</v>
      </c>
      <c r="S112" s="3">
        <f>IF(OR(Q112="",R112="",Q112=0),"",R112/Q112*100)</f>
        <v/>
      </c>
    </row>
    <row r="113" ht="16" customHeight="1">
      <c r="A113" s="2" t="inlineStr">
        <is>
          <t>2375</t>
        </is>
      </c>
      <c r="B113" s="2" t="inlineStr">
        <is>
          <t>凱美</t>
        </is>
      </c>
      <c r="C113" s="2" t="inlineStr">
        <is>
          <t>電子零組件</t>
        </is>
      </c>
      <c r="D113" s="3" t="n">
        <v>16.96</v>
      </c>
      <c r="E113" s="3" t="n">
        <v>6.01</v>
      </c>
      <c r="F113" s="3" t="n">
        <v>5.92</v>
      </c>
      <c r="G113" s="3" t="n">
        <v>19.09</v>
      </c>
      <c r="H113" s="3" t="n">
        <v>8.76</v>
      </c>
      <c r="I113" s="3" t="n">
        <v>7.35</v>
      </c>
      <c r="J113" s="4">
        <f>IF(OR(D113="",G113=""),"",G113-D113)</f>
        <v/>
      </c>
      <c r="K113" s="4">
        <f>IF(OR(E113="",H113=""),"",H113-E113)</f>
        <v/>
      </c>
      <c r="L113" s="4">
        <f>IF(OR(F113="",I113=""),"",I113-F113)</f>
        <v/>
      </c>
      <c r="M113" s="3" t="n">
        <v>0.78</v>
      </c>
      <c r="N113" s="3" t="n">
        <v>1.84</v>
      </c>
      <c r="O113" s="3" t="n">
        <v>1.06</v>
      </c>
      <c r="P113" s="3" t="n">
        <v>29.45</v>
      </c>
      <c r="Q113" s="3" t="n">
        <v>110</v>
      </c>
      <c r="R113" s="3" t="n"/>
      <c r="S113" s="3">
        <f>IF(OR(Q113="",R113="",Q113=0),"",R113/Q113*100)</f>
        <v/>
      </c>
    </row>
    <row r="114" ht="16" customHeight="1">
      <c r="A114" s="2" t="inlineStr">
        <is>
          <t>2376</t>
        </is>
      </c>
      <c r="B114" s="2" t="inlineStr">
        <is>
          <t>技嘉</t>
        </is>
      </c>
      <c r="C114" s="2" t="inlineStr"/>
      <c r="D114" s="3" t="n">
        <v>12.01</v>
      </c>
      <c r="E114" s="3" t="n">
        <v>7.06</v>
      </c>
      <c r="F114" s="3" t="n">
        <v>5.37</v>
      </c>
      <c r="G114" s="3" t="n">
        <v>9.630000000000001</v>
      </c>
      <c r="H114" s="3" t="n">
        <v>5.63</v>
      </c>
      <c r="I114" s="3" t="n">
        <v>5.18</v>
      </c>
      <c r="J114" s="4">
        <f>IF(OR(D114="",G114=""),"",G114-D114)</f>
        <v/>
      </c>
      <c r="K114" s="4">
        <f>IF(OR(E114="",H114=""),"",H114-E114)</f>
        <v/>
      </c>
      <c r="L114" s="4">
        <f>IF(OR(F114="",I114=""),"",I114-F114)</f>
        <v/>
      </c>
      <c r="M114" s="3" t="n">
        <v>7.86</v>
      </c>
      <c r="N114" s="3" t="n">
        <v>18.26</v>
      </c>
      <c r="O114" s="3" t="n">
        <v>10.4</v>
      </c>
      <c r="P114" s="3" t="n">
        <v>12.87</v>
      </c>
      <c r="Q114" s="3" t="n">
        <v>336</v>
      </c>
      <c r="R114" s="3" t="n">
        <v>12</v>
      </c>
      <c r="S114" s="3">
        <f>IF(OR(Q114="",R114="",Q114=0),"",R114/Q114*100)</f>
        <v/>
      </c>
    </row>
    <row r="115" ht="16" customHeight="1">
      <c r="A115" s="2" t="inlineStr">
        <is>
          <t>2377</t>
        </is>
      </c>
      <c r="B115" s="2" t="inlineStr">
        <is>
          <t>微星</t>
        </is>
      </c>
      <c r="C115" s="2" t="inlineStr">
        <is>
          <t>電子工業</t>
        </is>
      </c>
      <c r="D115" s="3" t="n">
        <v>15</v>
      </c>
      <c r="E115" s="3" t="n">
        <v>6.89</v>
      </c>
      <c r="F115" s="3" t="n">
        <v>6.07</v>
      </c>
      <c r="G115" s="3" t="n">
        <v>15.97</v>
      </c>
      <c r="H115" s="3" t="n">
        <v>6.57</v>
      </c>
      <c r="I115" s="3" t="n">
        <v>6</v>
      </c>
      <c r="J115" s="4">
        <f>IF(OR(D115="",G115=""),"",G115-D115)</f>
        <v/>
      </c>
      <c r="K115" s="4">
        <f>IF(OR(E115="",H115=""),"",H115-E115)</f>
        <v/>
      </c>
      <c r="L115" s="4">
        <f>IF(OR(F115="",I115=""),"",I115-F115)</f>
        <v/>
      </c>
      <c r="M115" s="3" t="n">
        <v>4.04</v>
      </c>
      <c r="N115" s="3" t="n">
        <v>7.58</v>
      </c>
      <c r="O115" s="3" t="n">
        <v>3.54</v>
      </c>
      <c r="P115" s="3" t="n">
        <v>12.14</v>
      </c>
      <c r="Q115" s="3" t="n">
        <v>157.5</v>
      </c>
      <c r="R115" s="3" t="n"/>
      <c r="S115" s="3">
        <f>IF(OR(Q115="",R115="",Q115=0),"",R115/Q115*100)</f>
        <v/>
      </c>
    </row>
    <row r="116" ht="16" customHeight="1">
      <c r="A116" s="2" t="inlineStr">
        <is>
          <t>2379</t>
        </is>
      </c>
      <c r="B116" s="2" t="inlineStr">
        <is>
          <t>瑞昱</t>
        </is>
      </c>
      <c r="C116" s="2" t="inlineStr">
        <is>
          <t>半導體業</t>
        </is>
      </c>
      <c r="D116" s="3" t="n">
        <v>49.66</v>
      </c>
      <c r="E116" s="3" t="n">
        <v>11.89</v>
      </c>
      <c r="F116" s="3" t="n">
        <v>11.89</v>
      </c>
      <c r="G116" s="3" t="n">
        <v>47</v>
      </c>
      <c r="H116" s="3" t="n">
        <v>9.92</v>
      </c>
      <c r="I116" s="3" t="n">
        <v>10.14</v>
      </c>
      <c r="J116" s="4">
        <f>IF(OR(D116="",G116=""),"",G116-D116)</f>
        <v/>
      </c>
      <c r="K116" s="4">
        <f>IF(OR(E116="",H116=""),"",H116-E116)</f>
        <v/>
      </c>
      <c r="L116" s="4">
        <f>IF(OR(F116="",I116=""),"",I116-F116)</f>
        <v/>
      </c>
      <c r="M116" s="3" t="n">
        <v>8.44</v>
      </c>
      <c r="N116" s="3" t="n">
        <v>15.86</v>
      </c>
      <c r="O116" s="3" t="n">
        <v>7.42</v>
      </c>
      <c r="P116" s="3" t="n">
        <v>25.49</v>
      </c>
      <c r="Q116" s="3" t="n">
        <v>803</v>
      </c>
      <c r="R116" s="3" t="n"/>
      <c r="S116" s="3">
        <f>IF(OR(Q116="",R116="",Q116=0),"",R116/Q116*100)</f>
        <v/>
      </c>
    </row>
    <row r="117" ht="16" customHeight="1">
      <c r="A117" s="2" t="inlineStr">
        <is>
          <t>2382</t>
        </is>
      </c>
      <c r="B117" s="2" t="inlineStr">
        <is>
          <t>廣達</t>
        </is>
      </c>
      <c r="C117" s="2" t="inlineStr">
        <is>
          <t>電子工業</t>
        </is>
      </c>
      <c r="D117" s="3" t="n">
        <v>4.78</v>
      </c>
      <c r="E117" s="3" t="n">
        <v>2.85</v>
      </c>
      <c r="F117" s="3" t="n">
        <v>2.63</v>
      </c>
      <c r="G117" s="3" t="n">
        <v>5.03</v>
      </c>
      <c r="H117" s="3" t="n">
        <v>3.3</v>
      </c>
      <c r="I117" s="3" t="n">
        <v>2.77</v>
      </c>
      <c r="J117" s="4">
        <f>IF(OR(D117="",G117=""),"",G117-D117)</f>
        <v/>
      </c>
      <c r="K117" s="4">
        <f>IF(OR(E117="",H117=""),"",H117-E117)</f>
        <v/>
      </c>
      <c r="L117" s="4">
        <f>IF(OR(F117="",I117=""),"",I117-F117)</f>
        <v/>
      </c>
      <c r="M117" s="3" t="n">
        <v>5.5</v>
      </c>
      <c r="N117" s="3" t="n">
        <v>12.91</v>
      </c>
      <c r="O117" s="3" t="n">
        <v>7.41</v>
      </c>
      <c r="P117" s="3" t="n">
        <v>14.25</v>
      </c>
      <c r="Q117" s="3" t="n">
        <v>318</v>
      </c>
      <c r="R117" s="3" t="n">
        <v>15.6</v>
      </c>
      <c r="S117" s="3">
        <f>IF(OR(Q117="",R117="",Q117=0),"",R117/Q117*100)</f>
        <v/>
      </c>
    </row>
    <row r="118" ht="16" customHeight="1">
      <c r="A118" s="2" t="inlineStr">
        <is>
          <t>2383</t>
        </is>
      </c>
      <c r="B118" s="2" t="inlineStr">
        <is>
          <t>台光電</t>
        </is>
      </c>
      <c r="C118" s="2" t="inlineStr">
        <is>
          <t>電子工業</t>
        </is>
      </c>
      <c r="D118" s="3" t="n">
        <v>29.42</v>
      </c>
      <c r="E118" s="3" t="n">
        <v>21.56</v>
      </c>
      <c r="F118" s="3" t="n">
        <v>16.15</v>
      </c>
      <c r="G118" s="3" t="n">
        <v>33.85</v>
      </c>
      <c r="H118" s="3" t="n">
        <v>26.93</v>
      </c>
      <c r="I118" s="3" t="n">
        <v>20.88</v>
      </c>
      <c r="J118" s="4">
        <f>IF(OR(D118="",G118=""),"",G118-D118)</f>
        <v/>
      </c>
      <c r="K118" s="4">
        <f>IF(OR(E118="",H118=""),"",H118-E118)</f>
        <v/>
      </c>
      <c r="L118" s="4">
        <f>IF(OR(F118="",I118=""),"",I118-F118)</f>
        <v/>
      </c>
      <c r="M118" s="3" t="n">
        <v>14.9</v>
      </c>
      <c r="N118" s="3" t="n">
        <v>42.45</v>
      </c>
      <c r="O118" s="3" t="n">
        <v>27.55</v>
      </c>
      <c r="P118" s="3" t="n">
        <v>93.59</v>
      </c>
      <c r="Q118" s="3" t="n">
        <v>4675</v>
      </c>
      <c r="R118" s="3" t="n">
        <v>25</v>
      </c>
      <c r="S118" s="3">
        <f>IF(OR(Q118="",R118="",Q118=0),"",R118/Q118*100)</f>
        <v/>
      </c>
    </row>
    <row r="119" ht="16" customHeight="1">
      <c r="A119" s="2" t="inlineStr">
        <is>
          <t>2385</t>
        </is>
      </c>
      <c r="B119" s="2" t="inlineStr">
        <is>
          <t>群光</t>
        </is>
      </c>
      <c r="C119" s="2" t="inlineStr">
        <is>
          <t>電子工業</t>
        </is>
      </c>
      <c r="D119" s="3" t="n">
        <v>16.15</v>
      </c>
      <c r="E119" s="3" t="n">
        <v>7.55</v>
      </c>
      <c r="F119" s="3" t="n">
        <v>7.25</v>
      </c>
      <c r="G119" s="3" t="n">
        <v>13.62</v>
      </c>
      <c r="H119" s="3" t="n">
        <v>2.46</v>
      </c>
      <c r="I119" s="3" t="n">
        <v>11.8</v>
      </c>
      <c r="J119" s="4">
        <f>IF(OR(D119="",G119=""),"",G119-D119)</f>
        <v/>
      </c>
      <c r="K119" s="4">
        <f>IF(OR(E119="",H119=""),"",H119-E119)</f>
        <v/>
      </c>
      <c r="L119" s="4">
        <f>IF(OR(F119="",I119=""),"",I119-F119)</f>
        <v/>
      </c>
      <c r="M119" s="3" t="n">
        <v>2</v>
      </c>
      <c r="N119" s="3" t="n">
        <v>5.06</v>
      </c>
      <c r="O119" s="3" t="n">
        <v>3.06</v>
      </c>
      <c r="P119" s="3" t="n">
        <v>12.01</v>
      </c>
      <c r="Q119" s="3" t="n">
        <v>99.09999999999999</v>
      </c>
      <c r="R119" s="3" t="n">
        <v>7.2</v>
      </c>
      <c r="S119" s="3">
        <f>IF(OR(Q119="",R119="",Q119=0),"",R119/Q119*100)</f>
        <v/>
      </c>
    </row>
    <row r="120" ht="16" customHeight="1">
      <c r="A120" s="2" t="inlineStr">
        <is>
          <t>2388</t>
        </is>
      </c>
      <c r="B120" s="2" t="inlineStr">
        <is>
          <t>威盛</t>
        </is>
      </c>
      <c r="C120" s="2" t="inlineStr">
        <is>
          <t>半導體業</t>
        </is>
      </c>
      <c r="D120" s="3" t="n">
        <v>23.95</v>
      </c>
      <c r="E120" s="3" t="n">
        <v>-24.02</v>
      </c>
      <c r="F120" s="3" t="n">
        <v>0.22</v>
      </c>
      <c r="G120" s="3" t="n">
        <v>21.71</v>
      </c>
      <c r="H120" s="3" t="n">
        <v>-9.76</v>
      </c>
      <c r="I120" s="3" t="n">
        <v>3.44</v>
      </c>
      <c r="J120" s="4">
        <f>IF(OR(D120="",G120=""),"",G120-D120)</f>
        <v/>
      </c>
      <c r="K120" s="4">
        <f>IF(OR(E120="",H120=""),"",H120-E120)</f>
        <v/>
      </c>
      <c r="L120" s="4">
        <f>IF(OR(F120="",I120=""),"",I120-F120)</f>
        <v/>
      </c>
      <c r="M120" s="3" t="n">
        <v>0.08</v>
      </c>
      <c r="N120" s="3" t="n">
        <v>0.33</v>
      </c>
      <c r="O120" s="3" t="n">
        <v>0.25</v>
      </c>
      <c r="P120" s="3" t="n">
        <v>46.19</v>
      </c>
      <c r="Q120" s="3" t="n">
        <v>63.3</v>
      </c>
      <c r="R120" s="3" t="n">
        <v>0.05</v>
      </c>
      <c r="S120" s="3">
        <f>IF(OR(Q120="",R120="",Q120=0),"",R120/Q120*100)</f>
        <v/>
      </c>
    </row>
    <row r="121" ht="16" customHeight="1">
      <c r="A121" s="2" t="inlineStr">
        <is>
          <t>2392</t>
        </is>
      </c>
      <c r="B121" s="2" t="inlineStr">
        <is>
          <t>正崴</t>
        </is>
      </c>
      <c r="C121" s="2" t="inlineStr">
        <is>
          <t>電子零組件</t>
        </is>
      </c>
      <c r="D121" s="3" t="n">
        <v>19.32</v>
      </c>
      <c r="E121" s="3" t="n">
        <v>9.98</v>
      </c>
      <c r="F121" s="3" t="n">
        <v>8.800000000000001</v>
      </c>
      <c r="G121" s="3" t="n">
        <v>4.23</v>
      </c>
      <c r="H121" s="3" t="n">
        <v>-7.66</v>
      </c>
      <c r="I121" s="3" t="n">
        <v>25.04</v>
      </c>
      <c r="J121" s="4">
        <f>IF(OR(D121="",G121=""),"",G121-D121)</f>
        <v/>
      </c>
      <c r="K121" s="4">
        <f>IF(OR(E121="",H121=""),"",H121-E121)</f>
        <v/>
      </c>
      <c r="L121" s="4">
        <f>IF(OR(F121="",I121=""),"",I121-F121)</f>
        <v/>
      </c>
      <c r="M121" s="3" t="n">
        <v>-0.46</v>
      </c>
      <c r="N121" s="3" t="n">
        <v>12.56</v>
      </c>
      <c r="O121" s="3" t="n">
        <v>13.02</v>
      </c>
      <c r="P121" s="3" t="n">
        <v>5.36</v>
      </c>
      <c r="Q121" s="3" t="n">
        <v>37.9</v>
      </c>
      <c r="R121" s="3" t="n">
        <v>1</v>
      </c>
      <c r="S121" s="3">
        <f>IF(OR(Q121="",R121="",Q121=0),"",R121/Q121*100)</f>
        <v/>
      </c>
    </row>
    <row r="122" ht="16" customHeight="1">
      <c r="A122" s="2" t="inlineStr">
        <is>
          <t>2393</t>
        </is>
      </c>
      <c r="B122" s="2" t="inlineStr">
        <is>
          <t>億光</t>
        </is>
      </c>
      <c r="C122" s="2" t="inlineStr">
        <is>
          <t>光電業</t>
        </is>
      </c>
      <c r="D122" s="3" t="n">
        <v>24.73</v>
      </c>
      <c r="E122" s="3" t="n">
        <v>7.41</v>
      </c>
      <c r="F122" s="3" t="n">
        <v>8.26</v>
      </c>
      <c r="G122" s="3" t="n">
        <v>24.16</v>
      </c>
      <c r="H122" s="3" t="n">
        <v>9.59</v>
      </c>
      <c r="I122" s="3" t="n">
        <v>10.76</v>
      </c>
      <c r="J122" s="4">
        <f>IF(OR(D122="",G122=""),"",G122-D122)</f>
        <v/>
      </c>
      <c r="K122" s="4">
        <f>IF(OR(E122="",H122=""),"",H122-E122)</f>
        <v/>
      </c>
      <c r="L122" s="4">
        <f>IF(OR(F122="",I122=""),"",I122-F122)</f>
        <v/>
      </c>
      <c r="M122" s="3" t="n">
        <v>0.91</v>
      </c>
      <c r="N122" s="3" t="n">
        <v>2.15</v>
      </c>
      <c r="O122" s="3" t="n">
        <v>1.24</v>
      </c>
      <c r="P122" s="3" t="n">
        <v>13.8</v>
      </c>
      <c r="Q122" s="3" t="n">
        <v>67.2</v>
      </c>
      <c r="R122" s="3" t="n">
        <v>4.14</v>
      </c>
      <c r="S122" s="3">
        <f>IF(OR(Q122="",R122="",Q122=0),"",R122/Q122*100)</f>
        <v/>
      </c>
    </row>
    <row r="123" ht="16" customHeight="1">
      <c r="A123" s="2" t="inlineStr">
        <is>
          <t>2395</t>
        </is>
      </c>
      <c r="B123" s="2" t="inlineStr">
        <is>
          <t>研華</t>
        </is>
      </c>
      <c r="C123" s="2" t="inlineStr">
        <is>
          <t>電子工業</t>
        </is>
      </c>
      <c r="D123" s="3" t="n">
        <v>39.15</v>
      </c>
      <c r="E123" s="3" t="n">
        <v>18.29</v>
      </c>
      <c r="F123" s="3" t="n">
        <v>16.28</v>
      </c>
      <c r="G123" s="3" t="n">
        <v>37.68</v>
      </c>
      <c r="H123" s="3" t="n">
        <v>19.63</v>
      </c>
      <c r="I123" s="3" t="n">
        <v>17.24</v>
      </c>
      <c r="J123" s="4">
        <f>IF(OR(D123="",G123=""),"",G123-D123)</f>
        <v/>
      </c>
      <c r="K123" s="4">
        <f>IF(OR(E123="",H123=""),"",H123-E123)</f>
        <v/>
      </c>
      <c r="L123" s="4">
        <f>IF(OR(F123="",I123=""),"",I123-F123)</f>
        <v/>
      </c>
      <c r="M123" s="3" t="n">
        <v>3.85</v>
      </c>
      <c r="N123" s="3" t="n">
        <v>9.08</v>
      </c>
      <c r="O123" s="3" t="n">
        <v>5.23</v>
      </c>
      <c r="P123" s="3" t="n">
        <v>43.26</v>
      </c>
      <c r="Q123" s="3" t="n">
        <v>680</v>
      </c>
      <c r="R123" s="3" t="n">
        <v>9.17</v>
      </c>
      <c r="S123" s="3">
        <f>IF(OR(Q123="",R123="",Q123=0),"",R123/Q123*100)</f>
        <v/>
      </c>
    </row>
    <row r="124" ht="16" customHeight="1">
      <c r="A124" s="2" t="inlineStr">
        <is>
          <t>2401</t>
        </is>
      </c>
      <c r="B124" s="2" t="inlineStr">
        <is>
          <t>凌陽</t>
        </is>
      </c>
      <c r="C124" s="2" t="inlineStr">
        <is>
          <t>半導體</t>
        </is>
      </c>
      <c r="D124" s="3" t="n">
        <v>49.74</v>
      </c>
      <c r="E124" s="3" t="n">
        <v>7.83</v>
      </c>
      <c r="F124" s="3" t="n">
        <v>5.33</v>
      </c>
      <c r="G124" s="3" t="n">
        <v>47.61</v>
      </c>
      <c r="H124" s="3" t="n">
        <v>11.45</v>
      </c>
      <c r="I124" s="3" t="n">
        <v>16.85</v>
      </c>
      <c r="J124" s="4">
        <f>IF(OR(D124="",G124=""),"",G124-D124)</f>
        <v/>
      </c>
      <c r="K124" s="4">
        <f>IF(OR(E124="",H124=""),"",H124-E124)</f>
        <v/>
      </c>
      <c r="L124" s="4">
        <f>IF(OR(F124="",I124=""),"",I124-F124)</f>
        <v/>
      </c>
      <c r="M124" s="3" t="n">
        <v>-0.02</v>
      </c>
      <c r="N124" s="3" t="n">
        <v>0.35</v>
      </c>
      <c r="O124" s="3" t="n">
        <v>0.37</v>
      </c>
      <c r="P124" s="3" t="n">
        <v>255</v>
      </c>
      <c r="Q124" s="3" t="n">
        <v>23.8</v>
      </c>
      <c r="R124" s="3" t="n">
        <v>0</v>
      </c>
      <c r="S124" s="3">
        <f>IF(OR(Q124="",R124="",Q124=0),"",R124/Q124*100)</f>
        <v/>
      </c>
    </row>
    <row r="125" ht="16" customHeight="1">
      <c r="A125" s="2" t="inlineStr">
        <is>
          <t>2402</t>
        </is>
      </c>
      <c r="B125" s="2" t="inlineStr">
        <is>
          <t>毅嘉</t>
        </is>
      </c>
      <c r="C125" s="2" t="inlineStr">
        <is>
          <t>電子零組件</t>
        </is>
      </c>
      <c r="D125" s="3" t="n">
        <v>12.82</v>
      </c>
      <c r="E125" s="3" t="n">
        <v>2.87</v>
      </c>
      <c r="F125" s="3" t="n">
        <v>0.73</v>
      </c>
      <c r="G125" s="3" t="n">
        <v>14.18</v>
      </c>
      <c r="H125" s="3" t="n">
        <v>5.64</v>
      </c>
      <c r="I125" s="3" t="n">
        <v>3.69</v>
      </c>
      <c r="J125" s="4">
        <f>IF(OR(D125="",G125=""),"",G125-D125)</f>
        <v/>
      </c>
      <c r="K125" s="4">
        <f>IF(OR(E125="",H125=""),"",H125-E125)</f>
        <v/>
      </c>
      <c r="L125" s="4">
        <f>IF(OR(F125="",I125=""),"",I125-F125)</f>
        <v/>
      </c>
      <c r="M125" s="3" t="n">
        <v>0.07000000000000001</v>
      </c>
      <c r="N125" s="3" t="n">
        <v>0.47</v>
      </c>
      <c r="O125" s="3" t="n">
        <v>0.4</v>
      </c>
      <c r="P125" s="3" t="n">
        <v>32.81</v>
      </c>
      <c r="Q125" s="3" t="n">
        <v>53</v>
      </c>
      <c r="R125" s="3" t="n">
        <v>2</v>
      </c>
      <c r="S125" s="3">
        <f>IF(OR(Q125="",R125="",Q125=0),"",R125/Q125*100)</f>
        <v/>
      </c>
    </row>
    <row r="126" ht="16" customHeight="1">
      <c r="A126" s="2" t="inlineStr">
        <is>
          <t>2404</t>
        </is>
      </c>
      <c r="B126" s="2" t="inlineStr">
        <is>
          <t>漢唐</t>
        </is>
      </c>
      <c r="C126" s="2" t="inlineStr">
        <is>
          <t>其他電子業</t>
        </is>
      </c>
      <c r="D126" s="3" t="n">
        <v>23.32</v>
      </c>
      <c r="E126" s="3" t="n">
        <v>19.57</v>
      </c>
      <c r="F126" s="3" t="n">
        <v>15.22</v>
      </c>
      <c r="G126" s="3" t="n">
        <v>23.64</v>
      </c>
      <c r="H126" s="3" t="n">
        <v>19.96</v>
      </c>
      <c r="I126" s="3" t="n">
        <v>14.44</v>
      </c>
      <c r="J126" s="4">
        <f>IF(OR(D126="",G126=""),"",G126-D126)</f>
        <v/>
      </c>
      <c r="K126" s="4">
        <f>IF(OR(E126="",H126=""),"",H126-E126)</f>
        <v/>
      </c>
      <c r="L126" s="4">
        <f>IF(OR(F126="",I126=""),"",I126-F126)</f>
        <v/>
      </c>
      <c r="M126" s="3" t="n">
        <v>16.31</v>
      </c>
      <c r="N126" s="3" t="n">
        <v>36.21</v>
      </c>
      <c r="O126" s="3" t="n">
        <v>19.9</v>
      </c>
      <c r="P126" s="3" t="n">
        <v>16.97</v>
      </c>
      <c r="Q126" s="3" t="n">
        <v>1075</v>
      </c>
      <c r="R126" s="3" t="n">
        <v>40</v>
      </c>
      <c r="S126" s="3">
        <f>IF(OR(Q126="",R126="",Q126=0),"",R126/Q126*100)</f>
        <v/>
      </c>
    </row>
    <row r="127" ht="16" customHeight="1">
      <c r="A127" s="2" t="inlineStr">
        <is>
          <t>2408</t>
        </is>
      </c>
      <c r="B127" s="2" t="inlineStr">
        <is>
          <t>南亞科</t>
        </is>
      </c>
      <c r="C127" s="2" t="inlineStr">
        <is>
          <t>半導體業</t>
        </is>
      </c>
      <c r="D127" s="3" t="n">
        <v>67.89</v>
      </c>
      <c r="E127" s="3" t="n">
        <v>61.34</v>
      </c>
      <c r="F127" s="3" t="n">
        <v>53.09</v>
      </c>
      <c r="G127" s="3" t="n">
        <v>79.48</v>
      </c>
      <c r="H127" s="3" t="n">
        <v>73.68000000000001</v>
      </c>
      <c r="I127" s="3" t="n">
        <v>60.79</v>
      </c>
      <c r="J127" s="4">
        <f>IF(OR(D127="",G127=""),"",G127-D127)</f>
        <v/>
      </c>
      <c r="K127" s="4">
        <f>IF(OR(E127="",H127=""),"",H127-E127)</f>
        <v/>
      </c>
      <c r="L127" s="4">
        <f>IF(OR(F127="",I127=""),"",I127-F127)</f>
        <v/>
      </c>
      <c r="M127" s="3" t="n">
        <v>8.41</v>
      </c>
      <c r="N127" s="3" t="n">
        <v>24.61</v>
      </c>
      <c r="O127" s="3" t="n">
        <v>16.2</v>
      </c>
      <c r="P127" s="3" t="n">
        <v>19.87</v>
      </c>
      <c r="Q127" s="3" t="n">
        <v>454.5</v>
      </c>
      <c r="R127" s="3" t="n">
        <v>1.35</v>
      </c>
      <c r="S127" s="3">
        <f>IF(OR(Q127="",R127="",Q127=0),"",R127/Q127*100)</f>
        <v/>
      </c>
    </row>
    <row r="128" ht="16" customHeight="1">
      <c r="A128" s="2" t="inlineStr">
        <is>
          <t>2409</t>
        </is>
      </c>
      <c r="B128" s="2" t="inlineStr">
        <is>
          <t>友達</t>
        </is>
      </c>
      <c r="C128" s="2" t="inlineStr">
        <is>
          <t>光電業</t>
        </is>
      </c>
      <c r="D128" s="3" t="n">
        <v>11.85</v>
      </c>
      <c r="E128" s="3" t="n">
        <v>-0.92</v>
      </c>
      <c r="F128" s="3" t="n">
        <v>-1.51</v>
      </c>
      <c r="G128" s="3" t="n">
        <v>13.05</v>
      </c>
      <c r="H128" s="3" t="n">
        <v>0.31</v>
      </c>
      <c r="I128" s="3" t="n">
        <v>2.99</v>
      </c>
      <c r="J128" s="4">
        <f>IF(OR(D128="",G128=""),"",G128-D128)</f>
        <v/>
      </c>
      <c r="K128" s="4">
        <f>IF(OR(E128="",H128=""),"",H128-E128)</f>
        <v/>
      </c>
      <c r="L128" s="4">
        <f>IF(OR(F128="",I128=""),"",I128-F128)</f>
        <v/>
      </c>
      <c r="M128" s="3" t="n">
        <v>-0.15</v>
      </c>
      <c r="N128" s="3" t="n">
        <v>0.03</v>
      </c>
      <c r="O128" s="3" t="n">
        <v>0.18</v>
      </c>
      <c r="P128" s="3" t="n">
        <v>106.67</v>
      </c>
      <c r="Q128" s="3" t="n">
        <v>30.65</v>
      </c>
      <c r="R128" s="3" t="n">
        <v>0.4</v>
      </c>
      <c r="S128" s="3">
        <f>IF(OR(Q128="",R128="",Q128=0),"",R128/Q128*100)</f>
        <v/>
      </c>
    </row>
    <row r="129" ht="16" customHeight="1">
      <c r="A129" s="2" t="inlineStr">
        <is>
          <t>2412</t>
        </is>
      </c>
      <c r="B129" s="2" t="inlineStr">
        <is>
          <t>中華電</t>
        </is>
      </c>
      <c r="C129" s="2" t="inlineStr">
        <is>
          <t>通信網路業</t>
        </is>
      </c>
      <c r="D129" s="3" t="n">
        <v>37.92</v>
      </c>
      <c r="E129" s="3" t="n">
        <v>21.85</v>
      </c>
      <c r="F129" s="3" t="n">
        <v>17.68</v>
      </c>
      <c r="G129" s="3" t="n">
        <v>37.54</v>
      </c>
      <c r="H129" s="3" t="n">
        <v>21.62</v>
      </c>
      <c r="I129" s="3" t="n">
        <v>18.37</v>
      </c>
      <c r="J129" s="4">
        <f>IF(OR(D129="",G129=""),"",G129-D129)</f>
        <v/>
      </c>
      <c r="K129" s="4">
        <f>IF(OR(E129="",H129=""),"",H129-E129)</f>
        <v/>
      </c>
      <c r="L129" s="4">
        <f>IF(OR(F129="",I129=""),"",I129-F129)</f>
        <v/>
      </c>
      <c r="M129" s="3" t="n">
        <v>1.3</v>
      </c>
      <c r="N129" s="3" t="n">
        <v>2.68</v>
      </c>
      <c r="O129" s="3" t="n">
        <v>1.38</v>
      </c>
      <c r="P129" s="3" t="n">
        <v>26.52</v>
      </c>
      <c r="Q129" s="3" t="n">
        <v>160</v>
      </c>
      <c r="R129" s="3" t="n">
        <v>5.2</v>
      </c>
      <c r="S129" s="3">
        <f>IF(OR(Q129="",R129="",Q129=0),"",R129/Q129*100)</f>
        <v/>
      </c>
    </row>
    <row r="130" ht="16" customHeight="1">
      <c r="A130" s="2" t="inlineStr">
        <is>
          <t>2421</t>
        </is>
      </c>
      <c r="B130" s="2" t="inlineStr">
        <is>
          <t>建準</t>
        </is>
      </c>
      <c r="C130" s="2" t="inlineStr">
        <is>
          <t>電子工業</t>
        </is>
      </c>
      <c r="D130" s="3" t="n">
        <v>31.66</v>
      </c>
      <c r="E130" s="3" t="n">
        <v>15.71</v>
      </c>
      <c r="F130" s="3" t="n">
        <v>12.93</v>
      </c>
      <c r="G130" s="3" t="n">
        <v>31.25</v>
      </c>
      <c r="H130" s="3" t="n">
        <v>15.43</v>
      </c>
      <c r="I130" s="3" t="n">
        <v>12.74</v>
      </c>
      <c r="J130" s="4">
        <f>IF(OR(D130="",G130=""),"",G130-D130)</f>
        <v/>
      </c>
      <c r="K130" s="4">
        <f>IF(OR(E130="",H130=""),"",H130-E130)</f>
        <v/>
      </c>
      <c r="L130" s="4">
        <f>IF(OR(F130="",I130=""),"",I130-F130)</f>
        <v/>
      </c>
      <c r="M130" s="3" t="n">
        <v>2.36</v>
      </c>
      <c r="N130" s="3" t="n">
        <v>4.78</v>
      </c>
      <c r="O130" s="3" t="n">
        <v>2.42</v>
      </c>
      <c r="P130" s="3" t="n">
        <v>15.32</v>
      </c>
      <c r="Q130" s="3" t="n">
        <v>144</v>
      </c>
      <c r="R130" s="3" t="n">
        <v>5.24</v>
      </c>
      <c r="S130" s="3">
        <f>IF(OR(Q130="",R130="",Q130=0),"",R130/Q130*100)</f>
        <v/>
      </c>
    </row>
    <row r="131" ht="16" customHeight="1">
      <c r="A131" s="2" t="inlineStr">
        <is>
          <t>2426</t>
        </is>
      </c>
      <c r="B131" s="2" t="inlineStr">
        <is>
          <t>鼎元</t>
        </is>
      </c>
      <c r="C131" s="2" t="inlineStr">
        <is>
          <t>光電</t>
        </is>
      </c>
      <c r="D131" s="3" t="n">
        <v>19.63</v>
      </c>
      <c r="E131" s="3" t="n">
        <v>3.07</v>
      </c>
      <c r="F131" s="3" t="n">
        <v>3.05</v>
      </c>
      <c r="G131" s="3" t="n">
        <v>22.49</v>
      </c>
      <c r="H131" s="3" t="n">
        <v>8.039999999999999</v>
      </c>
      <c r="I131" s="3" t="n">
        <v>9.609999999999999</v>
      </c>
      <c r="J131" s="4">
        <f>IF(OR(D131="",G131=""),"",G131-D131)</f>
        <v/>
      </c>
      <c r="K131" s="4">
        <f>IF(OR(E131="",H131=""),"",H131-E131)</f>
        <v/>
      </c>
      <c r="L131" s="4">
        <f>IF(OR(F131="",I131=""),"",I131-F131)</f>
        <v/>
      </c>
      <c r="M131" s="3" t="n">
        <v>0.06</v>
      </c>
      <c r="N131" s="3" t="n">
        <v>0.28</v>
      </c>
      <c r="O131" s="3" t="n">
        <v>0.22</v>
      </c>
      <c r="P131" s="3" t="n">
        <v>822</v>
      </c>
      <c r="Q131" s="3" t="n">
        <v>87.40000000000001</v>
      </c>
      <c r="R131" s="3" t="n">
        <v>0.1</v>
      </c>
      <c r="S131" s="3">
        <f>IF(OR(Q131="",R131="",Q131=0),"",R131/Q131*100)</f>
        <v/>
      </c>
    </row>
    <row r="132" ht="16" customHeight="1">
      <c r="A132" s="2" t="inlineStr">
        <is>
          <t>2428</t>
        </is>
      </c>
      <c r="B132" s="2" t="inlineStr">
        <is>
          <t>興勤</t>
        </is>
      </c>
      <c r="C132" s="2" t="inlineStr">
        <is>
          <t>電子零組件</t>
        </is>
      </c>
      <c r="D132" s="3" t="n">
        <v>33.97</v>
      </c>
      <c r="E132" s="3" t="n">
        <v>19.9</v>
      </c>
      <c r="F132" s="3" t="n">
        <v>13.85</v>
      </c>
      <c r="G132" s="3" t="n">
        <v>37.52</v>
      </c>
      <c r="H132" s="3" t="n">
        <v>24.73</v>
      </c>
      <c r="I132" s="3" t="n">
        <v>25.38</v>
      </c>
      <c r="J132" s="4">
        <f>IF(OR(D132="",G132=""),"",G132-D132)</f>
        <v/>
      </c>
      <c r="K132" s="4">
        <f>IF(OR(E132="",H132=""),"",H132-E132)</f>
        <v/>
      </c>
      <c r="L132" s="4">
        <f>IF(OR(F132="",I132=""),"",I132-F132)</f>
        <v/>
      </c>
      <c r="M132" s="3" t="n">
        <v>2.21</v>
      </c>
      <c r="N132" s="3" t="n">
        <v>7.55</v>
      </c>
      <c r="O132" s="3" t="n">
        <v>5.34</v>
      </c>
      <c r="P132" s="3" t="n">
        <v>18.02</v>
      </c>
      <c r="Q132" s="3" t="n">
        <v>226.5</v>
      </c>
      <c r="R132" s="3" t="n">
        <v>5.9</v>
      </c>
      <c r="S132" s="3">
        <f>IF(OR(Q132="",R132="",Q132=0),"",R132/Q132*100)</f>
        <v/>
      </c>
    </row>
    <row r="133" ht="16" customHeight="1">
      <c r="A133" s="2" t="inlineStr">
        <is>
          <t>2439</t>
        </is>
      </c>
      <c r="B133" s="2" t="inlineStr">
        <is>
          <t>美律</t>
        </is>
      </c>
      <c r="C133" s="2" t="inlineStr">
        <is>
          <t>通訊網路</t>
        </is>
      </c>
      <c r="D133" s="3" t="n">
        <v>11.83</v>
      </c>
      <c r="E133" s="3" t="n">
        <v>1.88</v>
      </c>
      <c r="F133" s="3" t="n">
        <v>3.51</v>
      </c>
      <c r="G133" s="3" t="n">
        <v>9.98</v>
      </c>
      <c r="H133" s="3" t="n">
        <v>0.03</v>
      </c>
      <c r="I133" s="3" t="n">
        <v>2.42</v>
      </c>
      <c r="J133" s="4">
        <f>IF(OR(D133="",G133=""),"",G133-D133)</f>
        <v/>
      </c>
      <c r="K133" s="4">
        <f>IF(OR(E133="",H133=""),"",H133-E133)</f>
        <v/>
      </c>
      <c r="L133" s="4">
        <f>IF(OR(F133="",I133=""),"",I133-F133)</f>
        <v/>
      </c>
      <c r="M133" s="3" t="n">
        <v>1.03</v>
      </c>
      <c r="N133" s="3" t="n">
        <v>1.53</v>
      </c>
      <c r="O133" s="3" t="n">
        <v>0.5</v>
      </c>
      <c r="P133" s="3" t="n">
        <v>15.05</v>
      </c>
      <c r="Q133" s="3" t="n">
        <v>76</v>
      </c>
      <c r="R133" s="3" t="n">
        <v>4.084</v>
      </c>
      <c r="S133" s="3">
        <f>IF(OR(Q133="",R133="",Q133=0),"",R133/Q133*100)</f>
        <v/>
      </c>
    </row>
    <row r="134" ht="16" customHeight="1">
      <c r="A134" s="2" t="inlineStr">
        <is>
          <t>2441</t>
        </is>
      </c>
      <c r="B134" s="2" t="inlineStr">
        <is>
          <t>超豐</t>
        </is>
      </c>
      <c r="C134" s="2" t="inlineStr">
        <is>
          <t>半導體業</t>
        </is>
      </c>
      <c r="D134" s="3" t="n">
        <v>23.63</v>
      </c>
      <c r="E134" s="3" t="n">
        <v>19.56</v>
      </c>
      <c r="F134" s="3" t="n">
        <v>16.9</v>
      </c>
      <c r="G134" s="3" t="n">
        <v>24.25</v>
      </c>
      <c r="H134" s="3" t="n">
        <v>20.5</v>
      </c>
      <c r="I134" s="3" t="n">
        <v>16.93</v>
      </c>
      <c r="J134" s="4">
        <f>IF(OR(D134="",G134=""),"",G134-D134)</f>
        <v/>
      </c>
      <c r="K134" s="4">
        <f>IF(OR(E134="",H134=""),"",H134-E134)</f>
        <v/>
      </c>
      <c r="L134" s="4">
        <f>IF(OR(F134="",I134=""),"",I134-F134)</f>
        <v/>
      </c>
      <c r="M134" s="3" t="n">
        <v>1.4</v>
      </c>
      <c r="N134" s="3" t="n">
        <v>2.98</v>
      </c>
      <c r="O134" s="3" t="n">
        <v>1.57</v>
      </c>
      <c r="P134" s="3" t="n">
        <v>20.83</v>
      </c>
      <c r="Q134" s="3" t="n">
        <v>106.5</v>
      </c>
      <c r="R134" s="3" t="n">
        <v>3.01</v>
      </c>
      <c r="S134" s="3">
        <f>IF(OR(Q134="",R134="",Q134=0),"",R134/Q134*100)</f>
        <v/>
      </c>
    </row>
    <row r="135" ht="16" customHeight="1">
      <c r="A135" s="2" t="inlineStr">
        <is>
          <t>2449</t>
        </is>
      </c>
      <c r="B135" s="2" t="inlineStr">
        <is>
          <t>京元電子</t>
        </is>
      </c>
      <c r="C135" s="2" t="inlineStr">
        <is>
          <t>半導體業</t>
        </is>
      </c>
      <c r="D135" s="3" t="n">
        <v>39.74</v>
      </c>
      <c r="E135" s="3" t="n">
        <v>27.2</v>
      </c>
      <c r="F135" s="3" t="n">
        <v>22.43</v>
      </c>
      <c r="G135" s="3" t="n">
        <v>39.49</v>
      </c>
      <c r="H135" s="3" t="n">
        <v>25.38</v>
      </c>
      <c r="I135" s="3" t="n">
        <v>22.37</v>
      </c>
      <c r="J135" s="4">
        <f>IF(OR(D135="",G135=""),"",G135-D135)</f>
        <v/>
      </c>
      <c r="K135" s="4">
        <f>IF(OR(E135="",H135=""),"",H135-E135)</f>
        <v/>
      </c>
      <c r="L135" s="4">
        <f>IF(OR(F135="",I135=""),"",I135-F135)</f>
        <v/>
      </c>
      <c r="M135" s="3" t="n">
        <v>1.87</v>
      </c>
      <c r="N135" s="3" t="n">
        <v>3.91</v>
      </c>
      <c r="O135" s="3" t="n">
        <v>2.04</v>
      </c>
      <c r="P135" s="3" t="n">
        <v>32.37</v>
      </c>
      <c r="Q135" s="3" t="n">
        <v>253.5</v>
      </c>
      <c r="R135" s="3" t="n">
        <v>1</v>
      </c>
      <c r="S135" s="3">
        <f>IF(OR(Q135="",R135="",Q135=0),"",R135/Q135*100)</f>
        <v/>
      </c>
    </row>
    <row r="136" ht="16" customHeight="1">
      <c r="A136" s="2" t="inlineStr">
        <is>
          <t>2451</t>
        </is>
      </c>
      <c r="B136" s="2" t="inlineStr">
        <is>
          <t>創見</t>
        </is>
      </c>
      <c r="C136" s="2" t="inlineStr">
        <is>
          <t>半導體業</t>
        </is>
      </c>
      <c r="D136" s="3" t="n">
        <v>76.39</v>
      </c>
      <c r="E136" s="3" t="n">
        <v>71.8</v>
      </c>
      <c r="F136" s="3" t="n">
        <v>59.6</v>
      </c>
      <c r="G136" s="3" t="n">
        <v>77.03</v>
      </c>
      <c r="H136" s="3" t="n">
        <v>75.08</v>
      </c>
      <c r="I136" s="3" t="n">
        <v>63.24</v>
      </c>
      <c r="J136" s="4">
        <f>IF(OR(D136="",G136=""),"",G136-D136)</f>
        <v/>
      </c>
      <c r="K136" s="4">
        <f>IF(OR(E136="",H136=""),"",H136-E136)</f>
        <v/>
      </c>
      <c r="L136" s="4">
        <f>IF(OR(F136="",I136=""),"",I136-F136)</f>
        <v/>
      </c>
      <c r="M136" s="3" t="n">
        <v>18.93</v>
      </c>
      <c r="N136" s="3" t="n">
        <v>46.66</v>
      </c>
      <c r="O136" s="3" t="n">
        <v>27.73</v>
      </c>
      <c r="P136" s="3" t="n">
        <v>5.09</v>
      </c>
      <c r="Q136" s="3" t="n">
        <v>284</v>
      </c>
      <c r="R136" s="3" t="n">
        <v>11.78</v>
      </c>
      <c r="S136" s="3">
        <f>IF(OR(Q136="",R136="",Q136=0),"",R136/Q136*100)</f>
        <v/>
      </c>
    </row>
    <row r="137" ht="16" customHeight="1">
      <c r="A137" s="2" t="inlineStr">
        <is>
          <t>2454</t>
        </is>
      </c>
      <c r="B137" s="2" t="inlineStr">
        <is>
          <t>聯發科</t>
        </is>
      </c>
      <c r="C137" s="2" t="inlineStr">
        <is>
          <t>半導體業</t>
        </is>
      </c>
      <c r="D137" s="3" t="n">
        <v>46.3</v>
      </c>
      <c r="E137" s="3" t="n">
        <v>15.35</v>
      </c>
      <c r="F137" s="3" t="n">
        <v>16.34</v>
      </c>
      <c r="G137" s="3" t="n">
        <v>46.2</v>
      </c>
      <c r="H137" s="3" t="n">
        <v>15.04</v>
      </c>
      <c r="I137" s="3" t="n">
        <v>16.16</v>
      </c>
      <c r="J137" s="4">
        <f>IF(OR(D137="",G137=""),"",G137-D137)</f>
        <v/>
      </c>
      <c r="K137" s="4">
        <f>IF(OR(E137="",H137=""),"",H137-E137)</f>
        <v/>
      </c>
      <c r="L137" s="4">
        <f>IF(OR(F137="",I137=""),"",I137-F137)</f>
        <v/>
      </c>
      <c r="M137" s="3" t="n">
        <v>15.17</v>
      </c>
      <c r="N137" s="3" t="n">
        <v>30.47</v>
      </c>
      <c r="O137" s="3" t="n">
        <v>15.3</v>
      </c>
      <c r="P137" s="3" t="n">
        <v>69.53</v>
      </c>
      <c r="Q137" s="3" t="n">
        <v>3915</v>
      </c>
      <c r="R137" s="3" t="n">
        <v>53.5</v>
      </c>
      <c r="S137" s="3">
        <f>IF(OR(Q137="",R137="",Q137=0),"",R137/Q137*100)</f>
        <v/>
      </c>
    </row>
    <row r="138" ht="16" customHeight="1">
      <c r="A138" s="2" t="inlineStr">
        <is>
          <t>2455</t>
        </is>
      </c>
      <c r="B138" s="2" t="inlineStr">
        <is>
          <t>全新</t>
        </is>
      </c>
      <c r="C138" s="2" t="inlineStr">
        <is>
          <t>通信網路業</t>
        </is>
      </c>
      <c r="D138" s="3" t="n">
        <v>38.09</v>
      </c>
      <c r="E138" s="3" t="n">
        <v>23.63</v>
      </c>
      <c r="F138" s="3" t="n">
        <v>20.34</v>
      </c>
      <c r="G138" s="3" t="n">
        <v>38.61</v>
      </c>
      <c r="H138" s="3" t="n">
        <v>23.18</v>
      </c>
      <c r="I138" s="3" t="n">
        <v>22.12</v>
      </c>
      <c r="J138" s="4">
        <f>IF(OR(D138="",G138=""),"",G138-D138)</f>
        <v/>
      </c>
      <c r="K138" s="4">
        <f>IF(OR(E138="",H138=""),"",H138-E138)</f>
        <v/>
      </c>
      <c r="L138" s="4">
        <f>IF(OR(F138="",I138=""),"",I138-F138)</f>
        <v/>
      </c>
      <c r="M138" s="3" t="n">
        <v>1.06</v>
      </c>
      <c r="N138" s="3" t="n">
        <v>2.21</v>
      </c>
      <c r="O138" s="3" t="n">
        <v>1.15</v>
      </c>
      <c r="P138" s="3" t="n">
        <v>99.51000000000001</v>
      </c>
      <c r="Q138" s="3" t="n">
        <v>447</v>
      </c>
      <c r="R138" s="3" t="n">
        <v>2.62</v>
      </c>
      <c r="S138" s="3">
        <f>IF(OR(Q138="",R138="",Q138=0),"",R138/Q138*100)</f>
        <v/>
      </c>
    </row>
    <row r="139" ht="16" customHeight="1">
      <c r="A139" s="2" t="inlineStr">
        <is>
          <t>2458</t>
        </is>
      </c>
      <c r="B139" s="2" t="inlineStr">
        <is>
          <t>義隆</t>
        </is>
      </c>
      <c r="C139" s="2" t="inlineStr">
        <is>
          <t>半導體業</t>
        </is>
      </c>
      <c r="D139" s="3" t="n">
        <v>47.63</v>
      </c>
      <c r="E139" s="3" t="n">
        <v>24.15</v>
      </c>
      <c r="F139" s="3" t="n">
        <v>20.96</v>
      </c>
      <c r="G139" s="3" t="n">
        <v>47.4</v>
      </c>
      <c r="H139" s="3" t="n">
        <v>21.7</v>
      </c>
      <c r="I139" s="3" t="n">
        <v>27.4</v>
      </c>
      <c r="J139" s="4">
        <f>IF(OR(D139="",G139=""),"",G139-D139)</f>
        <v/>
      </c>
      <c r="K139" s="4">
        <f>IF(OR(E139="",H139=""),"",H139-E139)</f>
        <v/>
      </c>
      <c r="L139" s="4">
        <f>IF(OR(F139="",I139=""),"",I139-F139)</f>
        <v/>
      </c>
      <c r="M139" s="3" t="n">
        <v>2.46</v>
      </c>
      <c r="N139" s="3" t="n">
        <v>5.53</v>
      </c>
      <c r="O139" s="3" t="n">
        <v>3.07</v>
      </c>
      <c r="P139" s="3" t="n">
        <v>13.06</v>
      </c>
      <c r="Q139" s="3" t="n">
        <v>125</v>
      </c>
      <c r="R139" s="3" t="n">
        <v>8.851000000000001</v>
      </c>
      <c r="S139" s="3">
        <f>IF(OR(Q139="",R139="",Q139=0),"",R139/Q139*100)</f>
        <v/>
      </c>
    </row>
    <row r="140" ht="16" customHeight="1">
      <c r="A140" s="2" t="inlineStr">
        <is>
          <t>2464</t>
        </is>
      </c>
      <c r="B140" s="2" t="inlineStr">
        <is>
          <t>盟立</t>
        </is>
      </c>
      <c r="C140" s="2" t="inlineStr">
        <is>
          <t>其他電子業</t>
        </is>
      </c>
      <c r="D140" s="3" t="n">
        <v>18.67</v>
      </c>
      <c r="E140" s="3" t="n">
        <v>2.24</v>
      </c>
      <c r="F140" s="3" t="n">
        <v>2.65</v>
      </c>
      <c r="G140" s="3" t="n"/>
      <c r="H140" s="3" t="n"/>
      <c r="I140" s="3" t="n"/>
      <c r="J140" s="4">
        <f>IF(OR(D140="",G140=""),"",G140-D140)</f>
        <v/>
      </c>
      <c r="K140" s="4">
        <f>IF(OR(E140="",H140=""),"",H140-E140)</f>
        <v/>
      </c>
      <c r="L140" s="4">
        <f>IF(OR(F140="",I140=""),"",I140-F140)</f>
        <v/>
      </c>
      <c r="M140" s="3" t="n">
        <v>0.24</v>
      </c>
      <c r="N140" s="3" t="n">
        <v>0.66</v>
      </c>
      <c r="O140" s="3" t="n">
        <v>0.42</v>
      </c>
      <c r="P140" s="3" t="n">
        <v>505.26</v>
      </c>
      <c r="Q140" s="3" t="n">
        <v>167</v>
      </c>
      <c r="R140" s="3" t="n">
        <v>0.5</v>
      </c>
      <c r="S140" s="3">
        <f>IF(OR(Q140="",R140="",Q140=0),"",R140/Q140*100)</f>
        <v/>
      </c>
    </row>
    <row r="141" ht="16" customHeight="1">
      <c r="A141" s="2" t="inlineStr">
        <is>
          <t>2466</t>
        </is>
      </c>
      <c r="B141" s="2" t="inlineStr">
        <is>
          <t>冠西電</t>
        </is>
      </c>
      <c r="C141" s="2" t="inlineStr">
        <is>
          <t>光電</t>
        </is>
      </c>
      <c r="D141" s="3" t="n">
        <v>7.19</v>
      </c>
      <c r="E141" s="3" t="n">
        <v>-32.41</v>
      </c>
      <c r="F141" s="3" t="n">
        <v>3.29</v>
      </c>
      <c r="G141" s="3" t="n">
        <v>29.77</v>
      </c>
      <c r="H141" s="3" t="n">
        <v>1.25</v>
      </c>
      <c r="I141" s="3" t="n">
        <v>1.44</v>
      </c>
      <c r="J141" s="4">
        <f>IF(OR(D141="",G141=""),"",G141-D141)</f>
        <v/>
      </c>
      <c r="K141" s="4">
        <f>IF(OR(E141="",H141=""),"",H141-E141)</f>
        <v/>
      </c>
      <c r="L141" s="4">
        <f>IF(OR(F141="",I141=""),"",I141-F141)</f>
        <v/>
      </c>
      <c r="M141" s="3" t="n">
        <v>0.03</v>
      </c>
      <c r="N141" s="3" t="n">
        <v>0.05</v>
      </c>
      <c r="O141" s="3" t="n">
        <v>0.02</v>
      </c>
      <c r="P141" s="3" t="n">
        <v>66.23999999999999</v>
      </c>
      <c r="Q141" s="3" t="n">
        <v>354</v>
      </c>
      <c r="R141" s="3" t="n"/>
      <c r="S141" s="3">
        <f>IF(OR(Q141="",R141="",Q141=0),"",R141/Q141*100)</f>
        <v/>
      </c>
    </row>
    <row r="142" ht="16" customHeight="1">
      <c r="A142" s="2" t="inlineStr">
        <is>
          <t>2467</t>
        </is>
      </c>
      <c r="B142" s="2" t="inlineStr">
        <is>
          <t>志聖</t>
        </is>
      </c>
      <c r="C142" s="2" t="inlineStr">
        <is>
          <t>電子工業</t>
        </is>
      </c>
      <c r="D142" s="3" t="n">
        <v>49.47</v>
      </c>
      <c r="E142" s="3" t="n">
        <v>24.37</v>
      </c>
      <c r="F142" s="3" t="n">
        <v>21.33</v>
      </c>
      <c r="G142" s="3" t="n">
        <v>48.76</v>
      </c>
      <c r="H142" s="3" t="n">
        <v>27.43</v>
      </c>
      <c r="I142" s="3" t="n">
        <v>24.03</v>
      </c>
      <c r="J142" s="4">
        <f>IF(OR(D142="",G142=""),"",G142-D142)</f>
        <v/>
      </c>
      <c r="K142" s="4">
        <f>IF(OR(E142="",H142=""),"",H142-E142)</f>
        <v/>
      </c>
      <c r="L142" s="4">
        <f>IF(OR(F142="",I142=""),"",I142-F142)</f>
        <v/>
      </c>
      <c r="M142" s="3" t="n">
        <v>3.06</v>
      </c>
      <c r="N142" s="3" t="n">
        <v>7.3</v>
      </c>
      <c r="O142" s="3" t="n">
        <v>4.24</v>
      </c>
      <c r="P142" s="3" t="n">
        <v>53.39</v>
      </c>
      <c r="Q142" s="3" t="n">
        <v>430</v>
      </c>
      <c r="R142" s="3" t="n">
        <v>5.5</v>
      </c>
      <c r="S142" s="3">
        <f>IF(OR(Q142="",R142="",Q142=0),"",R142/Q142*100)</f>
        <v/>
      </c>
    </row>
    <row r="143" ht="16" customHeight="1">
      <c r="A143" s="2" t="inlineStr">
        <is>
          <t>2472</t>
        </is>
      </c>
      <c r="B143" s="2" t="inlineStr">
        <is>
          <t>立隆電</t>
        </is>
      </c>
      <c r="C143" s="2" t="inlineStr">
        <is>
          <t>電子工業</t>
        </is>
      </c>
      <c r="D143" s="3" t="n">
        <v>30.01</v>
      </c>
      <c r="E143" s="3" t="n">
        <v>18.68</v>
      </c>
      <c r="F143" s="3" t="n">
        <v>13.53</v>
      </c>
      <c r="G143" s="3" t="n">
        <v>31.55</v>
      </c>
      <c r="H143" s="3" t="n">
        <v>21.72</v>
      </c>
      <c r="I143" s="3" t="n">
        <v>15.28</v>
      </c>
      <c r="J143" s="4">
        <f>IF(OR(D143="",G143=""),"",G143-D143)</f>
        <v/>
      </c>
      <c r="K143" s="4">
        <f>IF(OR(E143="",H143=""),"",H143-E143)</f>
        <v/>
      </c>
      <c r="L143" s="4">
        <f>IF(OR(F143="",I143=""),"",I143-F143)</f>
        <v/>
      </c>
      <c r="M143" s="3" t="n">
        <v>1.6</v>
      </c>
      <c r="N143" s="3" t="n">
        <v>3.99</v>
      </c>
      <c r="O143" s="3" t="n">
        <v>2.39</v>
      </c>
      <c r="P143" s="3" t="n">
        <v>22.2</v>
      </c>
      <c r="Q143" s="3" t="n">
        <v>190</v>
      </c>
      <c r="R143" s="3" t="n">
        <v>3.5</v>
      </c>
      <c r="S143" s="3">
        <f>IF(OR(Q143="",R143="",Q143=0),"",R143/Q143*100)</f>
        <v/>
      </c>
    </row>
    <row r="144" ht="16" customHeight="1">
      <c r="A144" s="2" t="inlineStr">
        <is>
          <t>2474</t>
        </is>
      </c>
      <c r="B144" s="2" t="inlineStr">
        <is>
          <t>可成</t>
        </is>
      </c>
      <c r="C144" s="2" t="inlineStr">
        <is>
          <t>其他電子業</t>
        </is>
      </c>
      <c r="D144" s="3" t="n">
        <v>28.8</v>
      </c>
      <c r="E144" s="3" t="n">
        <v>6.45</v>
      </c>
      <c r="F144" s="3" t="n">
        <v>40.69</v>
      </c>
      <c r="G144" s="3" t="n">
        <v>28.87</v>
      </c>
      <c r="H144" s="3" t="n">
        <v>1.78</v>
      </c>
      <c r="I144" s="3" t="n">
        <v>52.61</v>
      </c>
      <c r="J144" s="4">
        <f>IF(OR(D144="",G144=""),"",G144-D144)</f>
        <v/>
      </c>
      <c r="K144" s="4">
        <f>IF(OR(E144="",H144=""),"",H144-E144)</f>
        <v/>
      </c>
      <c r="L144" s="4">
        <f>IF(OR(F144="",I144=""),"",I144-F144)</f>
        <v/>
      </c>
      <c r="M144" s="3" t="n">
        <v>2.63</v>
      </c>
      <c r="N144" s="3" t="n">
        <v>5.05</v>
      </c>
      <c r="O144" s="3" t="n">
        <v>2.42</v>
      </c>
      <c r="P144" s="3" t="n">
        <v>13.61</v>
      </c>
      <c r="Q144" s="3" t="n">
        <v>193</v>
      </c>
      <c r="R144" s="3" t="n">
        <v>7.11</v>
      </c>
      <c r="S144" s="3">
        <f>IF(OR(Q144="",R144="",Q144=0),"",R144/Q144*100)</f>
        <v/>
      </c>
    </row>
    <row r="145" ht="16" customHeight="1">
      <c r="A145" s="2" t="inlineStr">
        <is>
          <t>2476</t>
        </is>
      </c>
      <c r="B145" s="2" t="inlineStr">
        <is>
          <t>鉅祥</t>
        </is>
      </c>
      <c r="C145" s="2" t="inlineStr">
        <is>
          <t>電子零組件</t>
        </is>
      </c>
      <c r="D145" s="3" t="n">
        <v>29.92</v>
      </c>
      <c r="E145" s="3" t="n">
        <v>17.83</v>
      </c>
      <c r="F145" s="3" t="n">
        <v>17.58</v>
      </c>
      <c r="G145" s="3" t="n">
        <v>31.55</v>
      </c>
      <c r="H145" s="3" t="n">
        <v>20.58</v>
      </c>
      <c r="I145" s="3" t="n">
        <v>22.76</v>
      </c>
      <c r="J145" s="4">
        <f>IF(OR(D145="",G145=""),"",G145-D145)</f>
        <v/>
      </c>
      <c r="K145" s="4">
        <f>IF(OR(E145="",H145=""),"",H145-E145)</f>
        <v/>
      </c>
      <c r="L145" s="4">
        <f>IF(OR(F145="",I145=""),"",I145-F145)</f>
        <v/>
      </c>
      <c r="M145" s="3" t="n">
        <v>1.14</v>
      </c>
      <c r="N145" s="3" t="n">
        <v>2.98</v>
      </c>
      <c r="O145" s="3" t="n">
        <v>1.84</v>
      </c>
      <c r="P145" s="3" t="n">
        <v>18.78</v>
      </c>
      <c r="Q145" s="3" t="n">
        <v>110.5</v>
      </c>
      <c r="R145" s="3" t="n">
        <v>2.97</v>
      </c>
      <c r="S145" s="3">
        <f>IF(OR(Q145="",R145="",Q145=0),"",R145/Q145*100)</f>
        <v/>
      </c>
    </row>
    <row r="146" ht="16" customHeight="1">
      <c r="A146" s="2" t="inlineStr">
        <is>
          <t>2478</t>
        </is>
      </c>
      <c r="B146" s="2" t="inlineStr">
        <is>
          <t>大毅</t>
        </is>
      </c>
      <c r="C146" s="2" t="inlineStr">
        <is>
          <t>電子工業</t>
        </is>
      </c>
      <c r="D146" s="3" t="n">
        <v>25.01</v>
      </c>
      <c r="E146" s="3" t="n">
        <v>13.1</v>
      </c>
      <c r="F146" s="3" t="n">
        <v>11.45</v>
      </c>
      <c r="G146" s="3" t="n"/>
      <c r="H146" s="3" t="n"/>
      <c r="I146" s="3" t="n"/>
      <c r="J146" s="4">
        <f>IF(OR(D146="",G146=""),"",G146-D146)</f>
        <v/>
      </c>
      <c r="K146" s="4">
        <f>IF(OR(E146="",H146=""),"",H146-E146)</f>
        <v/>
      </c>
      <c r="L146" s="4">
        <f>IF(OR(F146="",I146=""),"",I146-F146)</f>
        <v/>
      </c>
      <c r="M146" s="3" t="n">
        <v>1.14</v>
      </c>
      <c r="N146" s="3" t="n">
        <v>2.91</v>
      </c>
      <c r="O146" s="3" t="n">
        <v>1.77</v>
      </c>
      <c r="P146" s="3" t="n">
        <v>24.79</v>
      </c>
      <c r="Q146" s="3" t="n">
        <v>109</v>
      </c>
      <c r="R146" s="3" t="n">
        <v>2</v>
      </c>
      <c r="S146" s="3">
        <f>IF(OR(Q146="",R146="",Q146=0),"",R146/Q146*100)</f>
        <v/>
      </c>
    </row>
    <row r="147" ht="16" customHeight="1">
      <c r="A147" s="2" t="inlineStr">
        <is>
          <t>2480</t>
        </is>
      </c>
      <c r="B147" s="2" t="inlineStr">
        <is>
          <t>敦陽科</t>
        </is>
      </c>
      <c r="C147" s="2" t="inlineStr">
        <is>
          <t>資訊服務業</t>
        </is>
      </c>
      <c r="D147" s="3" t="n">
        <v>23.46</v>
      </c>
      <c r="E147" s="3" t="n">
        <v>12.41</v>
      </c>
      <c r="F147" s="3" t="n">
        <v>11.55</v>
      </c>
      <c r="G147" s="3" t="n">
        <v>22.33</v>
      </c>
      <c r="H147" s="3" t="n">
        <v>11.81</v>
      </c>
      <c r="I147" s="3" t="n">
        <v>9.869999999999999</v>
      </c>
      <c r="J147" s="4">
        <f>IF(OR(D147="",G147=""),"",G147-D147)</f>
        <v/>
      </c>
      <c r="K147" s="4">
        <f>IF(OR(E147="",H147=""),"",H147-E147)</f>
        <v/>
      </c>
      <c r="L147" s="4">
        <f>IF(OR(F147="",I147=""),"",I147-F147)</f>
        <v/>
      </c>
      <c r="M147" s="3" t="n">
        <v>2.63</v>
      </c>
      <c r="N147" s="3" t="n">
        <v>4.91</v>
      </c>
      <c r="O147" s="3" t="n">
        <v>2.28</v>
      </c>
      <c r="P147" s="3" t="n">
        <v>18.09</v>
      </c>
      <c r="Q147" s="3" t="n">
        <v>184.5</v>
      </c>
      <c r="R147" s="3" t="n">
        <v>7.8</v>
      </c>
      <c r="S147" s="3">
        <f>IF(OR(Q147="",R147="",Q147=0),"",R147/Q147*100)</f>
        <v/>
      </c>
    </row>
    <row r="148" ht="16" customHeight="1">
      <c r="A148" s="2" t="inlineStr">
        <is>
          <t>2481</t>
        </is>
      </c>
      <c r="B148" s="2" t="inlineStr">
        <is>
          <t>強茂</t>
        </is>
      </c>
      <c r="C148" s="2" t="inlineStr">
        <is>
          <t>半導體業</t>
        </is>
      </c>
      <c r="D148" s="3" t="n">
        <v>32.74</v>
      </c>
      <c r="E148" s="3" t="n">
        <v>6.5</v>
      </c>
      <c r="F148" s="3" t="n">
        <v>9.039999999999999</v>
      </c>
      <c r="G148" s="3" t="n"/>
      <c r="H148" s="3" t="n"/>
      <c r="I148" s="3" t="n"/>
      <c r="J148" s="4">
        <f>IF(OR(D148="",G148=""),"",G148-D148)</f>
        <v/>
      </c>
      <c r="K148" s="4">
        <f>IF(OR(E148="",H148=""),"",H148-E148)</f>
        <v/>
      </c>
      <c r="L148" s="4">
        <f>IF(OR(F148="",I148=""),"",I148-F148)</f>
        <v/>
      </c>
      <c r="M148" s="3" t="n">
        <v>0.75</v>
      </c>
      <c r="N148" s="3" t="n">
        <v>2.03</v>
      </c>
      <c r="O148" s="3" t="n">
        <v>1.28</v>
      </c>
      <c r="P148" s="3" t="n">
        <v>37</v>
      </c>
      <c r="Q148" s="3" t="n">
        <v>139.5</v>
      </c>
      <c r="R148" s="3" t="n">
        <v>1.8</v>
      </c>
      <c r="S148" s="3">
        <f>IF(OR(Q148="",R148="",Q148=0),"",R148/Q148*100)</f>
        <v/>
      </c>
    </row>
    <row r="149" ht="16" customHeight="1">
      <c r="A149" s="2" t="inlineStr">
        <is>
          <t>2486</t>
        </is>
      </c>
      <c r="B149" s="2" t="inlineStr">
        <is>
          <t>一詮</t>
        </is>
      </c>
      <c r="C149" s="2" t="inlineStr">
        <is>
          <t>光電業</t>
        </is>
      </c>
      <c r="D149" s="3" t="n">
        <v>21.05</v>
      </c>
      <c r="E149" s="3" t="n">
        <v>6.99</v>
      </c>
      <c r="F149" s="3" t="n">
        <v>3.81</v>
      </c>
      <c r="G149" s="3" t="n"/>
      <c r="H149" s="3" t="n"/>
      <c r="I149" s="3" t="n"/>
      <c r="J149" s="4">
        <f>IF(OR(D149="",G149=""),"",G149-D149)</f>
        <v/>
      </c>
      <c r="K149" s="4">
        <f>IF(OR(E149="",H149=""),"",H149-E149)</f>
        <v/>
      </c>
      <c r="L149" s="4">
        <f>IF(OR(F149="",I149=""),"",I149-F149)</f>
        <v/>
      </c>
      <c r="M149" s="3" t="n">
        <v>0.29</v>
      </c>
      <c r="N149" s="3" t="n">
        <v>0.91</v>
      </c>
      <c r="O149" s="3" t="n">
        <v>0.62</v>
      </c>
      <c r="P149" s="3" t="n">
        <v>214.66</v>
      </c>
      <c r="Q149" s="3" t="n">
        <v>192.5</v>
      </c>
      <c r="R149" s="3" t="n">
        <v>0.25</v>
      </c>
      <c r="S149" s="3">
        <f>IF(OR(Q149="",R149="",Q149=0),"",R149/Q149*100)</f>
        <v/>
      </c>
    </row>
    <row r="150" ht="16" customHeight="1">
      <c r="A150" s="2" t="inlineStr">
        <is>
          <t>2489</t>
        </is>
      </c>
      <c r="B150" s="2" t="inlineStr">
        <is>
          <t>瑞軒</t>
        </is>
      </c>
      <c r="C150" s="2" t="inlineStr">
        <is>
          <t>光電業</t>
        </is>
      </c>
      <c r="D150" s="3" t="n">
        <v>8.69</v>
      </c>
      <c r="E150" s="3" t="n">
        <v>1.07</v>
      </c>
      <c r="F150" s="3" t="n">
        <v>1.64</v>
      </c>
      <c r="G150" s="3" t="n">
        <v>7.58</v>
      </c>
      <c r="H150" s="3" t="n">
        <v>0.54</v>
      </c>
      <c r="I150" s="3" t="n">
        <v>2.46</v>
      </c>
      <c r="J150" s="4">
        <f>IF(OR(D150="",G150=""),"",G150-D150)</f>
        <v/>
      </c>
      <c r="K150" s="4">
        <f>IF(OR(E150="",H150=""),"",H150-E150)</f>
        <v/>
      </c>
      <c r="L150" s="4">
        <f>IF(OR(F150="",I150=""),"",I150-F150)</f>
        <v/>
      </c>
      <c r="M150" s="3" t="n">
        <v>0.15</v>
      </c>
      <c r="N150" s="3" t="n">
        <v>0.44</v>
      </c>
      <c r="O150" s="3" t="n">
        <v>0.29</v>
      </c>
      <c r="P150" s="3" t="n">
        <v>25.65</v>
      </c>
      <c r="Q150" s="3" t="n">
        <v>35.75</v>
      </c>
      <c r="R150" s="3" t="n">
        <v>1.2</v>
      </c>
      <c r="S150" s="3">
        <f>IF(OR(Q150="",R150="",Q150=0),"",R150/Q150*100)</f>
        <v/>
      </c>
    </row>
    <row r="151" ht="16" customHeight="1">
      <c r="A151" s="2" t="inlineStr">
        <is>
          <t>2492</t>
        </is>
      </c>
      <c r="B151" s="2" t="inlineStr">
        <is>
          <t>華新科</t>
        </is>
      </c>
      <c r="C151" s="2" t="inlineStr">
        <is>
          <t>電子工業</t>
        </is>
      </c>
      <c r="D151" s="3" t="n">
        <v>18.3</v>
      </c>
      <c r="E151" s="3" t="n">
        <v>7.54</v>
      </c>
      <c r="F151" s="3" t="n">
        <v>10.35</v>
      </c>
      <c r="G151" s="3" t="n">
        <v>20.29</v>
      </c>
      <c r="H151" s="3" t="n">
        <v>10.27</v>
      </c>
      <c r="I151" s="3" t="n">
        <v>15.9</v>
      </c>
      <c r="J151" s="4">
        <f>IF(OR(D151="",G151=""),"",G151-D151)</f>
        <v/>
      </c>
      <c r="K151" s="4">
        <f>IF(OR(E151="",H151=""),"",H151-E151)</f>
        <v/>
      </c>
      <c r="L151" s="4">
        <f>IF(OR(F151="",I151=""),"",I151-F151)</f>
        <v/>
      </c>
      <c r="M151" s="3" t="n">
        <v>1.69</v>
      </c>
      <c r="N151" s="3" t="n">
        <v>4.77</v>
      </c>
      <c r="O151" s="3" t="n">
        <v>3.08</v>
      </c>
      <c r="P151" s="3" t="n">
        <v>33.99</v>
      </c>
      <c r="Q151" s="3" t="n">
        <v>381</v>
      </c>
      <c r="R151" s="3" t="n">
        <v>2.5</v>
      </c>
      <c r="S151" s="3">
        <f>IF(OR(Q151="",R151="",Q151=0),"",R151/Q151*100)</f>
        <v/>
      </c>
    </row>
    <row r="152" ht="16" customHeight="1">
      <c r="A152" s="2" t="inlineStr">
        <is>
          <t>2493</t>
        </is>
      </c>
      <c r="B152" s="2" t="inlineStr">
        <is>
          <t>揚博</t>
        </is>
      </c>
      <c r="C152" s="2" t="inlineStr">
        <is>
          <t>電子工業</t>
        </is>
      </c>
      <c r="D152" s="3" t="n">
        <v>29.19</v>
      </c>
      <c r="E152" s="3" t="n">
        <v>17.97</v>
      </c>
      <c r="F152" s="3" t="n">
        <v>17.01</v>
      </c>
      <c r="G152" s="3" t="n"/>
      <c r="H152" s="3" t="n"/>
      <c r="I152" s="3" t="n"/>
      <c r="J152" s="4">
        <f>IF(OR(D152="",G152=""),"",G152-D152)</f>
        <v/>
      </c>
      <c r="K152" s="4">
        <f>IF(OR(E152="",H152=""),"",H152-E152)</f>
        <v/>
      </c>
      <c r="L152" s="4">
        <f>IF(OR(F152="",I152=""),"",I152-F152)</f>
        <v/>
      </c>
      <c r="M152" s="3" t="n">
        <v>1.26</v>
      </c>
      <c r="N152" s="3" t="n">
        <v>2.67</v>
      </c>
      <c r="O152" s="3" t="n">
        <v>1.41</v>
      </c>
      <c r="P152" s="3" t="n">
        <v>33.27</v>
      </c>
      <c r="Q152" s="3" t="n">
        <v>172</v>
      </c>
      <c r="R152" s="3" t="n">
        <v>4</v>
      </c>
      <c r="S152" s="3">
        <f>IF(OR(Q152="",R152="",Q152=0),"",R152/Q152*100)</f>
        <v/>
      </c>
    </row>
    <row r="153" ht="16" customHeight="1">
      <c r="A153" s="2" t="inlineStr">
        <is>
          <t>2498</t>
        </is>
      </c>
      <c r="B153" s="2" t="inlineStr">
        <is>
          <t>宏達電</t>
        </is>
      </c>
      <c r="C153" s="2" t="inlineStr">
        <is>
          <t>通信網路業</t>
        </is>
      </c>
      <c r="D153" s="3" t="n">
        <v>41.7</v>
      </c>
      <c r="E153" s="3" t="n">
        <v>-86.23</v>
      </c>
      <c r="F153" s="3" t="n">
        <v>-37.03</v>
      </c>
      <c r="G153" s="3" t="n"/>
      <c r="H153" s="3" t="n"/>
      <c r="I153" s="3" t="n"/>
      <c r="J153" s="4">
        <f>IF(OR(D153="",G153=""),"",G153-D153)</f>
        <v/>
      </c>
      <c r="K153" s="4">
        <f>IF(OR(E153="",H153=""),"",H153-E153)</f>
        <v/>
      </c>
      <c r="L153" s="4">
        <f>IF(OR(F153="",I153=""),"",I153-F153)</f>
        <v/>
      </c>
      <c r="M153" s="3" t="n">
        <v>-0.29</v>
      </c>
      <c r="N153" s="3" t="n">
        <v>-0.62</v>
      </c>
      <c r="O153" s="3" t="n">
        <v>-0.33</v>
      </c>
      <c r="P153" s="3" t="n">
        <v>15.64</v>
      </c>
      <c r="Q153" s="3" t="n">
        <v>38.8</v>
      </c>
      <c r="R153" s="3" t="n">
        <v>0.5</v>
      </c>
      <c r="S153" s="3">
        <f>IF(OR(Q153="",R153="",Q153=0),"",R153/Q153*100)</f>
        <v/>
      </c>
    </row>
    <row r="154" ht="16" customHeight="1">
      <c r="A154" s="2" t="inlineStr">
        <is>
          <t>2501</t>
        </is>
      </c>
      <c r="B154" s="2" t="inlineStr">
        <is>
          <t>國建</t>
        </is>
      </c>
      <c r="C154" s="2" t="inlineStr">
        <is>
          <t>建材營造</t>
        </is>
      </c>
      <c r="D154" s="3" t="n">
        <v>24.15</v>
      </c>
      <c r="E154" s="3" t="n">
        <v>17.44</v>
      </c>
      <c r="F154" s="3" t="n">
        <v>14.5</v>
      </c>
      <c r="G154" s="3" t="n">
        <v>28.06</v>
      </c>
      <c r="H154" s="3" t="n">
        <v>11.02</v>
      </c>
      <c r="I154" s="3" t="n">
        <v>9.1</v>
      </c>
      <c r="J154" s="4">
        <f>IF(OR(D154="",G154=""),"",G154-D154)</f>
        <v/>
      </c>
      <c r="K154" s="4">
        <f>IF(OR(E154="",H154=""),"",H154-E154)</f>
        <v/>
      </c>
      <c r="L154" s="4">
        <f>IF(OR(F154="",I154=""),"",I154-F154)</f>
        <v/>
      </c>
      <c r="M154" s="3" t="n">
        <v>1.21</v>
      </c>
      <c r="N154" s="3" t="n">
        <v>1.43</v>
      </c>
      <c r="O154" s="3" t="n">
        <v>0.22</v>
      </c>
      <c r="P154" s="3" t="n">
        <v>8.07</v>
      </c>
      <c r="Q154" s="3" t="n">
        <v>20.25</v>
      </c>
      <c r="R154" s="3" t="n">
        <v>1.2</v>
      </c>
      <c r="S154" s="3">
        <f>IF(OR(Q154="",R154="",Q154=0),"",R154/Q154*100)</f>
        <v/>
      </c>
    </row>
    <row r="155" ht="16" customHeight="1">
      <c r="A155" s="2" t="inlineStr">
        <is>
          <t>2504</t>
        </is>
      </c>
      <c r="B155" s="2" t="inlineStr">
        <is>
          <t>國產</t>
        </is>
      </c>
      <c r="C155" s="2" t="inlineStr">
        <is>
          <t>建材營造</t>
        </is>
      </c>
      <c r="D155" s="3" t="n">
        <v>26.62</v>
      </c>
      <c r="E155" s="3" t="n">
        <v>21.85</v>
      </c>
      <c r="F155" s="3" t="n">
        <v>16.94</v>
      </c>
      <c r="G155" s="3" t="n">
        <v>24.9</v>
      </c>
      <c r="H155" s="3" t="n">
        <v>19.85</v>
      </c>
      <c r="I155" s="3" t="n">
        <v>18.07</v>
      </c>
      <c r="J155" s="4">
        <f>IF(OR(D155="",G155=""),"",G155-D155)</f>
        <v/>
      </c>
      <c r="K155" s="4">
        <f>IF(OR(E155="",H155=""),"",H155-E155)</f>
        <v/>
      </c>
      <c r="L155" s="4">
        <f>IF(OR(F155="",I155=""),"",I155-F155)</f>
        <v/>
      </c>
      <c r="M155" s="3" t="n">
        <v>0.7</v>
      </c>
      <c r="N155" s="3" t="n">
        <v>1.47</v>
      </c>
      <c r="O155" s="3" t="n">
        <v>0.77</v>
      </c>
      <c r="P155" s="3" t="n">
        <v>9.81</v>
      </c>
      <c r="Q155" s="3" t="n">
        <v>32.2</v>
      </c>
      <c r="R155" s="3" t="n">
        <v>2.6</v>
      </c>
      <c r="S155" s="3">
        <f>IF(OR(Q155="",R155="",Q155=0),"",R155/Q155*100)</f>
        <v/>
      </c>
    </row>
    <row r="156" ht="16" customHeight="1">
      <c r="A156" s="2" t="inlineStr">
        <is>
          <t>2515</t>
        </is>
      </c>
      <c r="B156" s="2" t="inlineStr">
        <is>
          <t>中工</t>
        </is>
      </c>
      <c r="C156" s="2" t="inlineStr">
        <is>
          <t>營建</t>
        </is>
      </c>
      <c r="D156" s="3" t="n">
        <v>8.720000000000001</v>
      </c>
      <c r="E156" s="3" t="n">
        <v>4.95</v>
      </c>
      <c r="F156" s="3" t="n">
        <v>3.67</v>
      </c>
      <c r="G156" s="3" t="n"/>
      <c r="H156" s="3" t="n"/>
      <c r="I156" s="3" t="n"/>
      <c r="J156" s="4">
        <f>IF(OR(D156="",G156=""),"",G156-D156)</f>
        <v/>
      </c>
      <c r="K156" s="4">
        <f>IF(OR(E156="",H156=""),"",H156-E156)</f>
        <v/>
      </c>
      <c r="L156" s="4">
        <f>IF(OR(F156="",I156=""),"",I156-F156)</f>
        <v/>
      </c>
      <c r="M156" s="3" t="n">
        <v>0.16</v>
      </c>
      <c r="N156" s="3" t="n"/>
      <c r="O156" s="3" t="n"/>
      <c r="P156" s="3" t="n">
        <v>25</v>
      </c>
      <c r="Q156" s="3" t="n">
        <v>11.35</v>
      </c>
      <c r="R156" s="3" t="n">
        <v>0</v>
      </c>
      <c r="S156" s="3">
        <f>IF(OR(Q156="",R156="",Q156=0),"",R156/Q156*100)</f>
        <v/>
      </c>
    </row>
    <row r="157" ht="16" customHeight="1">
      <c r="A157" s="2" t="inlineStr">
        <is>
          <t>2520</t>
        </is>
      </c>
      <c r="B157" s="2" t="inlineStr">
        <is>
          <t>冠德</t>
        </is>
      </c>
      <c r="C157" s="2" t="inlineStr">
        <is>
          <t>營建</t>
        </is>
      </c>
      <c r="D157" s="3" t="n">
        <v>23.48</v>
      </c>
      <c r="E157" s="3" t="n">
        <v>13.54</v>
      </c>
      <c r="F157" s="3" t="n">
        <v>9</v>
      </c>
      <c r="G157" s="3" t="n">
        <v>27.81</v>
      </c>
      <c r="H157" s="3" t="n"/>
      <c r="I157" s="3" t="n"/>
      <c r="J157" s="4">
        <f>IF(OR(D157="",G157=""),"",G157-D157)</f>
        <v/>
      </c>
      <c r="K157" s="4">
        <f>IF(OR(E157="",H157=""),"",H157-E157)</f>
        <v/>
      </c>
      <c r="L157" s="4">
        <f>IF(OR(F157="",I157=""),"",I157-F157)</f>
        <v/>
      </c>
      <c r="M157" s="3" t="n">
        <v>0.52</v>
      </c>
      <c r="N157" s="3" t="n">
        <v>1.87</v>
      </c>
      <c r="O157" s="3" t="n">
        <v>1.35</v>
      </c>
      <c r="P157" s="3" t="n">
        <v>10.85</v>
      </c>
      <c r="Q157" s="3" t="n">
        <v>36.85</v>
      </c>
      <c r="R157" s="3" t="n">
        <v>1.62</v>
      </c>
      <c r="S157" s="3">
        <f>IF(OR(Q157="",R157="",Q157=0),"",R157/Q157*100)</f>
        <v/>
      </c>
    </row>
    <row r="158" ht="16" customHeight="1">
      <c r="A158" s="2" t="inlineStr">
        <is>
          <t>2530</t>
        </is>
      </c>
      <c r="B158" s="2" t="inlineStr">
        <is>
          <t>大華建設</t>
        </is>
      </c>
      <c r="C158" s="2" t="inlineStr">
        <is>
          <t>營建業</t>
        </is>
      </c>
      <c r="D158" s="3" t="n">
        <v>19.68</v>
      </c>
      <c r="E158" s="3" t="n">
        <v>-2.09</v>
      </c>
      <c r="F158" s="3" t="n">
        <v>-17.55</v>
      </c>
      <c r="G158" s="3" t="n"/>
      <c r="H158" s="3" t="n"/>
      <c r="I158" s="3" t="n"/>
      <c r="J158" s="4">
        <f>IF(OR(D158="",G158=""),"",G158-D158)</f>
        <v/>
      </c>
      <c r="K158" s="4">
        <f>IF(OR(E158="",H158=""),"",H158-E158)</f>
        <v/>
      </c>
      <c r="L158" s="4">
        <f>IF(OR(F158="",I158=""),"",I158-F158)</f>
        <v/>
      </c>
      <c r="M158" s="3" t="n">
        <v>-0.04</v>
      </c>
      <c r="N158" s="3" t="n"/>
      <c r="O158" s="3" t="n"/>
      <c r="P158" s="3" t="n">
        <v>29.47</v>
      </c>
      <c r="Q158" s="3" t="n">
        <v>19.15</v>
      </c>
      <c r="R158" s="3" t="n"/>
      <c r="S158" s="3">
        <f>IF(OR(Q158="",R158="",Q158=0),"",R158/Q158*100)</f>
        <v/>
      </c>
    </row>
    <row r="159" ht="16" customHeight="1">
      <c r="A159" s="2" t="inlineStr">
        <is>
          <t>2535</t>
        </is>
      </c>
      <c r="B159" s="2" t="inlineStr">
        <is>
          <t>達欣工</t>
        </is>
      </c>
      <c r="C159" s="2" t="inlineStr">
        <is>
          <t>營建</t>
        </is>
      </c>
      <c r="D159" s="3" t="n">
        <v>14.3</v>
      </c>
      <c r="E159" s="3" t="n">
        <v>10.61</v>
      </c>
      <c r="F159" s="3" t="n">
        <v>10.45</v>
      </c>
      <c r="G159" s="3" t="n"/>
      <c r="H159" s="3" t="n"/>
      <c r="I159" s="3" t="n"/>
      <c r="J159" s="4">
        <f>IF(OR(D159="",G159=""),"",G159-D159)</f>
        <v/>
      </c>
      <c r="K159" s="4">
        <f>IF(OR(E159="",H159=""),"",H159-E159)</f>
        <v/>
      </c>
      <c r="L159" s="4">
        <f>IF(OR(F159="",I159=""),"",I159-F159)</f>
        <v/>
      </c>
      <c r="M159" s="3" t="n">
        <v>2.88</v>
      </c>
      <c r="N159" s="3" t="n">
        <v>6.32</v>
      </c>
      <c r="O159" s="3" t="n">
        <v>3.44</v>
      </c>
      <c r="P159" s="3" t="n">
        <v>8.91</v>
      </c>
      <c r="Q159" s="3" t="n">
        <v>93</v>
      </c>
      <c r="R159" s="3" t="n">
        <v>4.6</v>
      </c>
      <c r="S159" s="3">
        <f>IF(OR(Q159="",R159="",Q159=0),"",R159/Q159*100)</f>
        <v/>
      </c>
    </row>
    <row r="160" ht="16" customHeight="1">
      <c r="A160" s="2" t="inlineStr">
        <is>
          <t>2539</t>
        </is>
      </c>
      <c r="B160" s="2" t="inlineStr">
        <is>
          <t>櫻花建</t>
        </is>
      </c>
      <c r="C160" s="2" t="inlineStr">
        <is>
          <t>建材營造</t>
        </is>
      </c>
      <c r="D160" s="3" t="n">
        <v>45.36</v>
      </c>
      <c r="E160" s="3" t="n">
        <v>40.49</v>
      </c>
      <c r="F160" s="3" t="n">
        <v>32.9</v>
      </c>
      <c r="G160" s="3" t="n">
        <v>44.63</v>
      </c>
      <c r="H160" s="3" t="n">
        <v>40.64</v>
      </c>
      <c r="I160" s="3" t="n">
        <v>32.99</v>
      </c>
      <c r="J160" s="4">
        <f>IF(OR(D160="",G160=""),"",G160-D160)</f>
        <v/>
      </c>
      <c r="K160" s="4">
        <f>IF(OR(E160="",H160=""),"",H160-E160)</f>
        <v/>
      </c>
      <c r="L160" s="4">
        <f>IF(OR(F160="",I160=""),"",I160-F160)</f>
        <v/>
      </c>
      <c r="M160" s="3" t="n">
        <v>0.68</v>
      </c>
      <c r="N160" s="3" t="n">
        <v>2.35</v>
      </c>
      <c r="O160" s="3" t="n">
        <v>1.67</v>
      </c>
      <c r="P160" s="3" t="n">
        <v>9.81</v>
      </c>
      <c r="Q160" s="3" t="n">
        <v>31.35</v>
      </c>
      <c r="R160" s="3" t="n">
        <v>0.6</v>
      </c>
      <c r="S160" s="3">
        <f>IF(OR(Q160="",R160="",Q160=0),"",R160/Q160*100)</f>
        <v/>
      </c>
    </row>
    <row r="161" ht="16" customHeight="1">
      <c r="A161" s="2" t="inlineStr">
        <is>
          <t>2540</t>
        </is>
      </c>
      <c r="B161" s="2" t="inlineStr">
        <is>
          <t>愛山林</t>
        </is>
      </c>
      <c r="C161" s="2" t="inlineStr">
        <is>
          <t>建材營造</t>
        </is>
      </c>
      <c r="D161" s="3" t="n">
        <v>16.66</v>
      </c>
      <c r="E161" s="3" t="n">
        <v>0.97</v>
      </c>
      <c r="F161" s="3" t="n">
        <v>-0.66</v>
      </c>
      <c r="G161" s="3" t="n">
        <v>20.18</v>
      </c>
      <c r="H161" s="3" t="n">
        <v>3.99</v>
      </c>
      <c r="I161" s="3" t="n">
        <v>1.3</v>
      </c>
      <c r="J161" s="4">
        <f>IF(OR(D161="",G161=""),"",G161-D161)</f>
        <v/>
      </c>
      <c r="K161" s="4">
        <f>IF(OR(E161="",H161=""),"",H161-E161)</f>
        <v/>
      </c>
      <c r="L161" s="4">
        <f>IF(OR(F161="",I161=""),"",I161-F161)</f>
        <v/>
      </c>
      <c r="M161" s="3" t="n">
        <v>-0.01</v>
      </c>
      <c r="N161" s="3" t="n">
        <v>0.01</v>
      </c>
      <c r="O161" s="3" t="n">
        <v>0.02</v>
      </c>
      <c r="P161" s="3" t="n"/>
      <c r="Q161" s="3" t="n">
        <v>46.05</v>
      </c>
      <c r="R161" s="3" t="n">
        <v>0.62</v>
      </c>
      <c r="S161" s="3">
        <f>IF(OR(Q161="",R161="",Q161=0),"",R161/Q161*100)</f>
        <v/>
      </c>
    </row>
    <row r="162" ht="16" customHeight="1">
      <c r="A162" s="2" t="inlineStr">
        <is>
          <t>2542</t>
        </is>
      </c>
      <c r="B162" s="2" t="inlineStr">
        <is>
          <t>興富發</t>
        </is>
      </c>
      <c r="C162" s="2" t="inlineStr">
        <is>
          <t>建材營造</t>
        </is>
      </c>
      <c r="D162" s="3" t="n">
        <v>30.11</v>
      </c>
      <c r="E162" s="3" t="n">
        <v>24.17</v>
      </c>
      <c r="F162" s="3" t="n">
        <v>19.89</v>
      </c>
      <c r="G162" s="3" t="n">
        <v>31.85</v>
      </c>
      <c r="H162" s="3" t="n">
        <v>25.32</v>
      </c>
      <c r="I162" s="3" t="n">
        <v>22.23</v>
      </c>
      <c r="J162" s="4">
        <f>IF(OR(D162="",G162=""),"",G162-D162)</f>
        <v/>
      </c>
      <c r="K162" s="4">
        <f>IF(OR(E162="",H162=""),"",H162-E162)</f>
        <v/>
      </c>
      <c r="L162" s="4">
        <f>IF(OR(F162="",I162=""),"",I162-F162)</f>
        <v/>
      </c>
      <c r="M162" s="3" t="n">
        <v>1.15</v>
      </c>
      <c r="N162" s="3" t="n">
        <v>2.5</v>
      </c>
      <c r="O162" s="3" t="n">
        <v>1.35</v>
      </c>
      <c r="P162" s="3" t="n">
        <v>10.69</v>
      </c>
      <c r="Q162" s="3" t="n">
        <v>39.3</v>
      </c>
      <c r="R162" s="3" t="n">
        <v>4</v>
      </c>
      <c r="S162" s="3">
        <f>IF(OR(Q162="",R162="",Q162=0),"",R162/Q162*100)</f>
        <v/>
      </c>
    </row>
    <row r="163" ht="16" customHeight="1">
      <c r="A163" s="2" t="inlineStr">
        <is>
          <t>2543</t>
        </is>
      </c>
      <c r="B163" s="2" t="inlineStr">
        <is>
          <t>皇昌</t>
        </is>
      </c>
      <c r="C163" s="2" t="inlineStr">
        <is>
          <t>營建</t>
        </is>
      </c>
      <c r="D163" s="3" t="n">
        <v>13.32</v>
      </c>
      <c r="E163" s="3" t="n">
        <v>9.02</v>
      </c>
      <c r="F163" s="3" t="n">
        <v>6.76</v>
      </c>
      <c r="G163" s="3" t="n"/>
      <c r="H163" s="3" t="n"/>
      <c r="I163" s="3" t="n"/>
      <c r="J163" s="4">
        <f>IF(OR(D163="",G163=""),"",G163-D163)</f>
        <v/>
      </c>
      <c r="K163" s="4">
        <f>IF(OR(E163="",H163=""),"",H163-E163)</f>
        <v/>
      </c>
      <c r="L163" s="4">
        <f>IF(OR(F163="",I163=""),"",I163-F163)</f>
        <v/>
      </c>
      <c r="M163" s="3" t="n">
        <v>0.37</v>
      </c>
      <c r="N163" s="3" t="n">
        <v>1.35</v>
      </c>
      <c r="O163" s="3" t="n">
        <v>0.98</v>
      </c>
      <c r="P163" s="3" t="n">
        <v>13.37</v>
      </c>
      <c r="Q163" s="3" t="n">
        <v>34.25</v>
      </c>
      <c r="R163" s="3" t="n">
        <v>1.03</v>
      </c>
      <c r="S163" s="3">
        <f>IF(OR(Q163="",R163="",Q163=0),"",R163/Q163*100)</f>
        <v/>
      </c>
    </row>
    <row r="164" ht="16" customHeight="1">
      <c r="A164" s="2" t="inlineStr">
        <is>
          <t>2545</t>
        </is>
      </c>
      <c r="B164" s="2" t="inlineStr">
        <is>
          <t>皇翔</t>
        </is>
      </c>
      <c r="C164" s="2" t="inlineStr">
        <is>
          <t>營建</t>
        </is>
      </c>
      <c r="D164" s="3" t="n">
        <v>16.86</v>
      </c>
      <c r="E164" s="3" t="n">
        <v>5.71</v>
      </c>
      <c r="F164" s="3" t="n">
        <v>-0.23</v>
      </c>
      <c r="G164" s="3" t="n"/>
      <c r="H164" s="3" t="n"/>
      <c r="I164" s="3" t="n"/>
      <c r="J164" s="4">
        <f>IF(OR(D164="",G164=""),"",G164-D164)</f>
        <v/>
      </c>
      <c r="K164" s="4">
        <f>IF(OR(E164="",H164=""),"",H164-E164)</f>
        <v/>
      </c>
      <c r="L164" s="4">
        <f>IF(OR(F164="",I164=""),"",I164-F164)</f>
        <v/>
      </c>
      <c r="M164" s="3" t="n">
        <v>-0.01</v>
      </c>
      <c r="N164" s="3" t="n">
        <v>2.04</v>
      </c>
      <c r="O164" s="3" t="n">
        <v>2.05</v>
      </c>
      <c r="P164" s="3" t="n">
        <v>36.53</v>
      </c>
      <c r="Q164" s="3" t="n">
        <v>33.05</v>
      </c>
      <c r="R164" s="3" t="n">
        <v>2.8</v>
      </c>
      <c r="S164" s="3">
        <f>IF(OR(Q164="",R164="",Q164=0),"",R164/Q164*100)</f>
        <v/>
      </c>
    </row>
    <row r="165" ht="16" customHeight="1">
      <c r="A165" s="2" t="inlineStr">
        <is>
          <t>2548</t>
        </is>
      </c>
      <c r="B165" s="2" t="inlineStr">
        <is>
          <t>華固</t>
        </is>
      </c>
      <c r="C165" s="2" t="inlineStr">
        <is>
          <t>建材營造</t>
        </is>
      </c>
      <c r="D165" s="3" t="n">
        <v>26</v>
      </c>
      <c r="E165" s="3" t="n">
        <v>20.69</v>
      </c>
      <c r="F165" s="3" t="n">
        <v>17.29</v>
      </c>
      <c r="G165" s="3" t="n"/>
      <c r="H165" s="3" t="n"/>
      <c r="I165" s="3" t="n"/>
      <c r="J165" s="4">
        <f>IF(OR(D165="",G165=""),"",G165-D165)</f>
        <v/>
      </c>
      <c r="K165" s="4">
        <f>IF(OR(E165="",H165=""),"",H165-E165)</f>
        <v/>
      </c>
      <c r="L165" s="4">
        <f>IF(OR(F165="",I165=""),"",I165-F165)</f>
        <v/>
      </c>
      <c r="M165" s="3" t="n">
        <v>2.28</v>
      </c>
      <c r="N165" s="3" t="n"/>
      <c r="O165" s="3" t="n"/>
      <c r="P165" s="3" t="n">
        <v>7.81</v>
      </c>
      <c r="Q165" s="3" t="n">
        <v>90.40000000000001</v>
      </c>
      <c r="R165" s="3" t="n">
        <v>8</v>
      </c>
      <c r="S165" s="3">
        <f>IF(OR(Q165="",R165="",Q165=0),"",R165/Q165*100)</f>
        <v/>
      </c>
    </row>
    <row r="166" ht="16" customHeight="1">
      <c r="A166" s="2" t="inlineStr">
        <is>
          <t>2597</t>
        </is>
      </c>
      <c r="B166" s="2" t="inlineStr">
        <is>
          <t>潤弘</t>
        </is>
      </c>
      <c r="C166" s="2" t="inlineStr">
        <is>
          <t>建材營造</t>
        </is>
      </c>
      <c r="D166" s="3" t="n">
        <v>17.7</v>
      </c>
      <c r="E166" s="3" t="n">
        <v>13.49</v>
      </c>
      <c r="F166" s="3" t="n">
        <v>11.12</v>
      </c>
      <c r="G166" s="3" t="n"/>
      <c r="H166" s="3" t="n"/>
      <c r="I166" s="3" t="n"/>
      <c r="J166" s="4">
        <f>IF(OR(D166="",G166=""),"",G166-D166)</f>
        <v/>
      </c>
      <c r="K166" s="4">
        <f>IF(OR(E166="",H166=""),"",H166-E166)</f>
        <v/>
      </c>
      <c r="L166" s="4">
        <f>IF(OR(F166="",I166=""),"",I166-F166)</f>
        <v/>
      </c>
      <c r="M166" s="3" t="n">
        <v>2.38</v>
      </c>
      <c r="N166" s="3" t="n">
        <v>5.08</v>
      </c>
      <c r="O166" s="3" t="n">
        <v>2.7</v>
      </c>
      <c r="P166" s="3" t="n">
        <v>14.45</v>
      </c>
      <c r="Q166" s="3" t="n">
        <v>170.5</v>
      </c>
      <c r="R166" s="3" t="n">
        <v>9.67</v>
      </c>
      <c r="S166" s="3">
        <f>IF(OR(Q166="",R166="",Q166=0),"",R166/Q166*100)</f>
        <v/>
      </c>
    </row>
    <row r="167" ht="16" customHeight="1">
      <c r="A167" s="2" t="inlineStr">
        <is>
          <t>2603</t>
        </is>
      </c>
      <c r="B167" s="2" t="inlineStr">
        <is>
          <t>長榮</t>
        </is>
      </c>
      <c r="C167" s="2" t="inlineStr">
        <is>
          <t>航運業</t>
        </is>
      </c>
      <c r="D167" s="3" t="n">
        <v>15.47</v>
      </c>
      <c r="E167" s="3" t="n">
        <v>10.34</v>
      </c>
      <c r="F167" s="3" t="n">
        <v>10.05</v>
      </c>
      <c r="G167" s="3" t="n">
        <v>22.81</v>
      </c>
      <c r="H167" s="3" t="n">
        <v>18.41</v>
      </c>
      <c r="I167" s="3" t="n">
        <v>15.54</v>
      </c>
      <c r="J167" s="4">
        <f>IF(OR(D167="",G167=""),"",G167-D167)</f>
        <v/>
      </c>
      <c r="K167" s="4">
        <f>IF(OR(E167="",H167=""),"",H167-E167)</f>
        <v/>
      </c>
      <c r="L167" s="4">
        <f>IF(OR(F167="",I167=""),"",I167-F167)</f>
        <v/>
      </c>
      <c r="M167" s="3" t="n">
        <v>3.84</v>
      </c>
      <c r="N167" s="3" t="n">
        <v>11.06</v>
      </c>
      <c r="O167" s="3" t="n">
        <v>7.22</v>
      </c>
      <c r="P167" s="3" t="n">
        <v>8.68</v>
      </c>
      <c r="Q167" s="3" t="n">
        <v>271.5</v>
      </c>
      <c r="R167" s="3" t="n">
        <v>16</v>
      </c>
      <c r="S167" s="3">
        <f>IF(OR(Q167="",R167="",Q167=0),"",R167/Q167*100)</f>
        <v/>
      </c>
    </row>
    <row r="168" ht="16" customHeight="1">
      <c r="A168" s="2" t="inlineStr">
        <is>
          <t>2605</t>
        </is>
      </c>
      <c r="B168" s="2" t="inlineStr">
        <is>
          <t>新興</t>
        </is>
      </c>
      <c r="C168" s="2" t="inlineStr">
        <is>
          <t>航運</t>
        </is>
      </c>
      <c r="D168" s="3" t="n">
        <v>42.65</v>
      </c>
      <c r="E168" s="3" t="n">
        <v>35.32</v>
      </c>
      <c r="F168" s="3" t="n">
        <v>28.34</v>
      </c>
      <c r="G168" s="3" t="n"/>
      <c r="H168" s="3" t="n"/>
      <c r="I168" s="3" t="n"/>
      <c r="J168" s="4">
        <f>IF(OR(D168="",G168=""),"",G168-D168)</f>
        <v/>
      </c>
      <c r="K168" s="4">
        <f>IF(OR(E168="",H168=""),"",H168-E168)</f>
        <v/>
      </c>
      <c r="L168" s="4">
        <f>IF(OR(F168="",I168=""),"",I168-F168)</f>
        <v/>
      </c>
      <c r="M168" s="3" t="n">
        <v>0.66</v>
      </c>
      <c r="N168" s="3" t="n">
        <v>3.67</v>
      </c>
      <c r="O168" s="3" t="n">
        <v>3.01</v>
      </c>
      <c r="P168" s="3" t="n">
        <v>7.47</v>
      </c>
      <c r="Q168" s="3" t="n">
        <v>34.95</v>
      </c>
      <c r="R168" s="3" t="n">
        <v>1</v>
      </c>
      <c r="S168" s="3">
        <f>IF(OR(Q168="",R168="",Q168=0),"",R168/Q168*100)</f>
        <v/>
      </c>
    </row>
    <row r="169" ht="16" customHeight="1">
      <c r="A169" s="2" t="inlineStr">
        <is>
          <t>2606</t>
        </is>
      </c>
      <c r="B169" s="2" t="inlineStr">
        <is>
          <t>裕民</t>
        </is>
      </c>
      <c r="C169" s="2" t="inlineStr">
        <is>
          <t>航運業</t>
        </is>
      </c>
      <c r="D169" s="3" t="n">
        <v>31.97</v>
      </c>
      <c r="E169" s="3" t="n">
        <v>25.39</v>
      </c>
      <c r="F169" s="3" t="n">
        <v>25.37</v>
      </c>
      <c r="G169" s="3" t="n">
        <v>35.37</v>
      </c>
      <c r="H169" s="3" t="n">
        <v>31.06</v>
      </c>
      <c r="I169" s="3" t="n">
        <v>39.42</v>
      </c>
      <c r="J169" s="4">
        <f>IF(OR(D169="",G169=""),"",G169-D169)</f>
        <v/>
      </c>
      <c r="K169" s="4">
        <f>IF(OR(E169="",H169=""),"",H169-E169)</f>
        <v/>
      </c>
      <c r="L169" s="4">
        <f>IF(OR(F169="",I169=""),"",I169-F169)</f>
        <v/>
      </c>
      <c r="M169" s="3" t="n">
        <v>1.17</v>
      </c>
      <c r="N169" s="3" t="n">
        <v>3.51</v>
      </c>
      <c r="O169" s="3" t="n">
        <v>2.34</v>
      </c>
      <c r="P169" s="3" t="n">
        <v>10.71</v>
      </c>
      <c r="Q169" s="3" t="n">
        <v>76</v>
      </c>
      <c r="R169" s="3" t="n">
        <v>2.8</v>
      </c>
      <c r="S169" s="3">
        <f>IF(OR(Q169="",R169="",Q169=0),"",R169/Q169*100)</f>
        <v/>
      </c>
    </row>
    <row r="170" ht="16" customHeight="1">
      <c r="A170" s="2" t="inlineStr">
        <is>
          <t>2607</t>
        </is>
      </c>
      <c r="B170" s="2" t="inlineStr">
        <is>
          <t>榮運</t>
        </is>
      </c>
      <c r="C170" s="2" t="inlineStr">
        <is>
          <t>航運</t>
        </is>
      </c>
      <c r="D170" s="3" t="n">
        <v>21.77</v>
      </c>
      <c r="E170" s="3" t="n">
        <v>11.73</v>
      </c>
      <c r="F170" s="3" t="n">
        <v>14.06</v>
      </c>
      <c r="G170" s="3" t="n">
        <v>20.17</v>
      </c>
      <c r="H170" s="3" t="n">
        <v>12.11</v>
      </c>
      <c r="I170" s="3" t="n">
        <v>17.64</v>
      </c>
      <c r="J170" s="4">
        <f>IF(OR(D170="",G170=""),"",G170-D170)</f>
        <v/>
      </c>
      <c r="K170" s="4">
        <f>IF(OR(E170="",H170=""),"",H170-E170)</f>
        <v/>
      </c>
      <c r="L170" s="4">
        <f>IF(OR(F170="",I170=""),"",I170-F170)</f>
        <v/>
      </c>
      <c r="M170" s="3" t="n">
        <v>1.04</v>
      </c>
      <c r="N170" s="3" t="n">
        <v>2.68</v>
      </c>
      <c r="O170" s="3" t="n">
        <v>1.64</v>
      </c>
      <c r="P170" s="3" t="n">
        <v>10.46</v>
      </c>
      <c r="Q170" s="3" t="n">
        <v>58.1</v>
      </c>
      <c r="R170" s="3" t="n">
        <v>2.7</v>
      </c>
      <c r="S170" s="3">
        <f>IF(OR(Q170="",R170="",Q170=0),"",R170/Q170*100)</f>
        <v/>
      </c>
    </row>
    <row r="171" ht="16" customHeight="1">
      <c r="A171" s="2" t="inlineStr">
        <is>
          <t>2609</t>
        </is>
      </c>
      <c r="B171" s="2" t="inlineStr">
        <is>
          <t>陽明</t>
        </is>
      </c>
      <c r="C171" s="2" t="inlineStr">
        <is>
          <t>航運業</t>
        </is>
      </c>
      <c r="D171" s="3" t="n">
        <v>7.3</v>
      </c>
      <c r="E171" s="3" t="n">
        <v>1.94</v>
      </c>
      <c r="F171" s="3" t="n">
        <v>3.87</v>
      </c>
      <c r="G171" s="3" t="n">
        <v>17.54</v>
      </c>
      <c r="H171" s="3" t="n">
        <v>12.37</v>
      </c>
      <c r="I171" s="3" t="n">
        <v>12.67</v>
      </c>
      <c r="J171" s="4">
        <f>IF(OR(D171="",G171=""),"",G171-D171)</f>
        <v/>
      </c>
      <c r="K171" s="4">
        <f>IF(OR(E171="",H171=""),"",H171-E171)</f>
        <v/>
      </c>
      <c r="L171" s="4">
        <f>IF(OR(F171="",I171=""),"",I171-F171)</f>
        <v/>
      </c>
      <c r="M171" s="3" t="n">
        <v>0.41</v>
      </c>
      <c r="N171" s="3" t="n">
        <v>2</v>
      </c>
      <c r="O171" s="3" t="n">
        <v>1.59</v>
      </c>
      <c r="P171" s="3" t="n">
        <v>11.62</v>
      </c>
      <c r="Q171" s="3" t="n">
        <v>63.5</v>
      </c>
      <c r="R171" s="3" t="n">
        <v>2</v>
      </c>
      <c r="S171" s="3">
        <f>IF(OR(Q171="",R171="",Q171=0),"",R171/Q171*100)</f>
        <v/>
      </c>
    </row>
    <row r="172" ht="16" customHeight="1">
      <c r="A172" s="2" t="inlineStr">
        <is>
          <t>2610</t>
        </is>
      </c>
      <c r="B172" s="2" t="inlineStr">
        <is>
          <t>華航</t>
        </is>
      </c>
      <c r="C172" s="2" t="inlineStr">
        <is>
          <t>航運業</t>
        </is>
      </c>
      <c r="D172" s="3" t="n">
        <v>20.6</v>
      </c>
      <c r="E172" s="3" t="n">
        <v>11.29</v>
      </c>
      <c r="F172" s="3" t="n">
        <v>10.26</v>
      </c>
      <c r="G172" s="3" t="n">
        <v>11.14</v>
      </c>
      <c r="H172" s="3" t="n">
        <v>4.17</v>
      </c>
      <c r="I172" s="3" t="n">
        <v>2.9</v>
      </c>
      <c r="J172" s="4">
        <f>IF(OR(D172="",G172=""),"",G172-D172)</f>
        <v/>
      </c>
      <c r="K172" s="4">
        <f>IF(OR(E172="",H172=""),"",H172-E172)</f>
        <v/>
      </c>
      <c r="L172" s="4">
        <f>IF(OR(F172="",I172=""),"",I172-F172)</f>
        <v/>
      </c>
      <c r="M172" s="3" t="n">
        <v>0.85</v>
      </c>
      <c r="N172" s="3" t="n">
        <v>1.08</v>
      </c>
      <c r="O172" s="3" t="n">
        <v>0.23</v>
      </c>
      <c r="P172" s="3" t="n">
        <v>9.210000000000001</v>
      </c>
      <c r="Q172" s="3" t="n">
        <v>20.15</v>
      </c>
      <c r="R172" s="3" t="n">
        <v>0.8100000000000001</v>
      </c>
      <c r="S172" s="3">
        <f>IF(OR(Q172="",R172="",Q172=0),"",R172/Q172*100)</f>
        <v/>
      </c>
    </row>
    <row r="173" ht="16" customHeight="1">
      <c r="A173" s="2" t="inlineStr">
        <is>
          <t>2615</t>
        </is>
      </c>
      <c r="B173" s="2" t="inlineStr">
        <is>
          <t>萬海</t>
        </is>
      </c>
      <c r="C173" s="2" t="inlineStr">
        <is>
          <t>航運業</t>
        </is>
      </c>
      <c r="D173" s="3" t="n">
        <v>22.76</v>
      </c>
      <c r="E173" s="3" t="n">
        <v>17.32</v>
      </c>
      <c r="F173" s="3" t="n">
        <v>22.82</v>
      </c>
      <c r="G173" s="3" t="n">
        <v>30.38</v>
      </c>
      <c r="H173" s="3" t="n">
        <v>25.96</v>
      </c>
      <c r="I173" s="3" t="n">
        <v>26.91</v>
      </c>
      <c r="J173" s="4">
        <f>IF(OR(D173="",G173=""),"",G173-D173)</f>
        <v/>
      </c>
      <c r="K173" s="4">
        <f>IF(OR(E173="",H173=""),"",H173-E173)</f>
        <v/>
      </c>
      <c r="L173" s="4">
        <f>IF(OR(F173="",I173=""),"",I173-F173)</f>
        <v/>
      </c>
      <c r="M173" s="3" t="n">
        <v>2.73</v>
      </c>
      <c r="N173" s="3" t="n">
        <v>6.83</v>
      </c>
      <c r="O173" s="3" t="n">
        <v>4.1</v>
      </c>
      <c r="P173" s="3" t="n">
        <v>6.22</v>
      </c>
      <c r="Q173" s="3" t="n">
        <v>120</v>
      </c>
      <c r="R173" s="3" t="n">
        <v>3</v>
      </c>
      <c r="S173" s="3">
        <f>IF(OR(Q173="",R173="",Q173=0),"",R173/Q173*100)</f>
        <v/>
      </c>
    </row>
    <row r="174" ht="16" customHeight="1">
      <c r="A174" s="2" t="inlineStr">
        <is>
          <t>2618</t>
        </is>
      </c>
      <c r="B174" s="2" t="inlineStr">
        <is>
          <t>長榮航</t>
        </is>
      </c>
      <c r="C174" s="2" t="inlineStr">
        <is>
          <t>航運業</t>
        </is>
      </c>
      <c r="D174" s="3" t="n">
        <v>26.22</v>
      </c>
      <c r="E174" s="3" t="n">
        <v>18.64</v>
      </c>
      <c r="F174" s="3" t="n">
        <v>14.65</v>
      </c>
      <c r="G174" s="3" t="n">
        <v>14.13</v>
      </c>
      <c r="H174" s="3" t="n">
        <v>8.44</v>
      </c>
      <c r="I174" s="3" t="n">
        <v>6.42</v>
      </c>
      <c r="J174" s="4">
        <f>IF(OR(D174="",G174=""),"",G174-D174)</f>
        <v/>
      </c>
      <c r="K174" s="4">
        <f>IF(OR(E174="",H174=""),"",H174-E174)</f>
        <v/>
      </c>
      <c r="L174" s="4">
        <f>IF(OR(F174="",I174=""),"",I174-F174)</f>
        <v/>
      </c>
      <c r="M174" s="3" t="n">
        <v>1.53</v>
      </c>
      <c r="N174" s="3" t="n">
        <v>2.28</v>
      </c>
      <c r="O174" s="3" t="n">
        <v>0.75</v>
      </c>
      <c r="P174" s="3" t="n">
        <v>8.4</v>
      </c>
      <c r="Q174" s="3" t="n">
        <v>42.7</v>
      </c>
      <c r="R174" s="3" t="n">
        <v>2</v>
      </c>
      <c r="S174" s="3">
        <f>IF(OR(Q174="",R174="",Q174=0),"",R174/Q174*100)</f>
        <v/>
      </c>
    </row>
    <row r="175" ht="16" customHeight="1">
      <c r="A175" s="2" t="inlineStr">
        <is>
          <t>2633</t>
        </is>
      </c>
      <c r="B175" s="2" t="inlineStr">
        <is>
          <t>台灣高鐵</t>
        </is>
      </c>
      <c r="C175" s="2" t="inlineStr">
        <is>
          <t>航運業</t>
        </is>
      </c>
      <c r="D175" s="3" t="n">
        <v>46.85</v>
      </c>
      <c r="E175" s="3" t="n">
        <v>43.23</v>
      </c>
      <c r="F175" s="3" t="n">
        <v>15.1</v>
      </c>
      <c r="G175" s="3" t="n">
        <v>41.4</v>
      </c>
      <c r="H175" s="3" t="n">
        <v>37.11</v>
      </c>
      <c r="I175" s="3" t="n">
        <v>11.9</v>
      </c>
      <c r="J175" s="4">
        <f>IF(OR(D175="",G175=""),"",G175-D175)</f>
        <v/>
      </c>
      <c r="K175" s="4">
        <f>IF(OR(E175="",H175=""),"",H175-E175)</f>
        <v/>
      </c>
      <c r="L175" s="4">
        <f>IF(OR(F175="",I175=""),"",I175-F175)</f>
        <v/>
      </c>
      <c r="M175" s="3" t="n">
        <v>0.37</v>
      </c>
      <c r="N175" s="3" t="n">
        <v>0.66</v>
      </c>
      <c r="O175" s="3" t="n">
        <v>0.29</v>
      </c>
      <c r="P175" s="3" t="n">
        <v>21.23</v>
      </c>
      <c r="Q175" s="3" t="n">
        <v>26.3</v>
      </c>
      <c r="R175" s="3" t="n">
        <v>1.15</v>
      </c>
      <c r="S175" s="3">
        <f>IF(OR(Q175="",R175="",Q175=0),"",R175/Q175*100)</f>
        <v/>
      </c>
    </row>
    <row r="176" ht="16" customHeight="1">
      <c r="A176" s="2" t="inlineStr">
        <is>
          <t>2634</t>
        </is>
      </c>
      <c r="B176" s="2" t="inlineStr">
        <is>
          <t>漢翔</t>
        </is>
      </c>
      <c r="C176" s="2" t="inlineStr">
        <is>
          <t>航運業</t>
        </is>
      </c>
      <c r="D176" s="3" t="n">
        <v>7.8</v>
      </c>
      <c r="E176" s="3" t="n">
        <v>3.6</v>
      </c>
      <c r="F176" s="3" t="n">
        <v>3.4</v>
      </c>
      <c r="G176" s="3" t="n">
        <v>19</v>
      </c>
      <c r="H176" s="3" t="n">
        <v>15.2</v>
      </c>
      <c r="I176" s="3" t="n">
        <v>10.5</v>
      </c>
      <c r="J176" s="4">
        <f>IF(OR(D176="",G176=""),"",G176-D176)</f>
        <v/>
      </c>
      <c r="K176" s="4">
        <f>IF(OR(E176="",H176=""),"",H176-E176)</f>
        <v/>
      </c>
      <c r="L176" s="4">
        <f>IF(OR(F176="",I176=""),"",I176-F176)</f>
        <v/>
      </c>
      <c r="M176" s="3" t="n">
        <v>0.28</v>
      </c>
      <c r="N176" s="3" t="n">
        <v>1.3</v>
      </c>
      <c r="O176" s="3" t="n">
        <v>1.02</v>
      </c>
      <c r="P176" s="3" t="n">
        <v>33.48</v>
      </c>
      <c r="Q176" s="3" t="n">
        <v>58.9</v>
      </c>
      <c r="R176" s="3" t="n">
        <v>0.78</v>
      </c>
      <c r="S176" s="3">
        <f>IF(OR(Q176="",R176="",Q176=0),"",R176/Q176*100)</f>
        <v/>
      </c>
    </row>
    <row r="177" ht="16" customHeight="1">
      <c r="A177" s="2" t="inlineStr">
        <is>
          <t>2637</t>
        </is>
      </c>
      <c r="B177" s="2" t="inlineStr">
        <is>
          <t>慧洋-KY</t>
        </is>
      </c>
      <c r="C177" s="2" t="inlineStr">
        <is>
          <t>航運業</t>
        </is>
      </c>
      <c r="D177" s="3" t="n">
        <v>28.68</v>
      </c>
      <c r="E177" s="3" t="n">
        <v>27.6</v>
      </c>
      <c r="F177" s="3" t="n">
        <v>27.55</v>
      </c>
      <c r="G177" s="3" t="n">
        <v>39.17</v>
      </c>
      <c r="H177" s="3" t="n">
        <v>38.04</v>
      </c>
      <c r="I177" s="3" t="n">
        <v>34.86</v>
      </c>
      <c r="J177" s="4">
        <f>IF(OR(D177="",G177=""),"",G177-D177)</f>
        <v/>
      </c>
      <c r="K177" s="4">
        <f>IF(OR(E177="",H177=""),"",H177-E177)</f>
        <v/>
      </c>
      <c r="L177" s="4">
        <f>IF(OR(F177="",I177=""),"",I177-F177)</f>
        <v/>
      </c>
      <c r="M177" s="3" t="n">
        <v>1.6</v>
      </c>
      <c r="N177" s="3" t="n">
        <v>4.09</v>
      </c>
      <c r="O177" s="3" t="n">
        <v>2.49</v>
      </c>
      <c r="P177" s="3" t="n">
        <v>11.35</v>
      </c>
      <c r="Q177" s="3" t="n">
        <v>100.5</v>
      </c>
      <c r="R177" s="3" t="n">
        <v>3.5</v>
      </c>
      <c r="S177" s="3">
        <f>IF(OR(Q177="",R177="",Q177=0),"",R177/Q177*100)</f>
        <v/>
      </c>
    </row>
    <row r="178" ht="16" customHeight="1">
      <c r="A178" s="2" t="inlineStr">
        <is>
          <t>2645</t>
        </is>
      </c>
      <c r="B178" s="2" t="inlineStr">
        <is>
          <t>長榮航太</t>
        </is>
      </c>
      <c r="C178" s="2" t="inlineStr">
        <is>
          <t>航運業</t>
        </is>
      </c>
      <c r="D178" s="3" t="n">
        <v>27.54</v>
      </c>
      <c r="E178" s="3" t="n">
        <v>23.83</v>
      </c>
      <c r="F178" s="3" t="n">
        <v>20.37</v>
      </c>
      <c r="G178" s="3" t="n">
        <v>21.32</v>
      </c>
      <c r="H178" s="3" t="n">
        <v>17.04</v>
      </c>
      <c r="I178" s="3" t="n">
        <v>14.43</v>
      </c>
      <c r="J178" s="4">
        <f>IF(OR(D178="",G178=""),"",G178-D178)</f>
        <v/>
      </c>
      <c r="K178" s="4">
        <f>IF(OR(E178="",H178=""),"",H178-E178)</f>
        <v/>
      </c>
      <c r="L178" s="4">
        <f>IF(OR(F178="",I178=""),"",I178-F178)</f>
        <v/>
      </c>
      <c r="M178" s="3" t="n">
        <v>2.58</v>
      </c>
      <c r="N178" s="3" t="n">
        <v>4.59</v>
      </c>
      <c r="O178" s="3" t="n">
        <v>2.01</v>
      </c>
      <c r="P178" s="3" t="n">
        <v>25.51</v>
      </c>
      <c r="Q178" s="3" t="n">
        <v>165.5</v>
      </c>
      <c r="R178" s="3" t="n">
        <v>5</v>
      </c>
      <c r="S178" s="3">
        <f>IF(OR(Q178="",R178="",Q178=0),"",R178/Q178*100)</f>
        <v/>
      </c>
    </row>
    <row r="179" ht="16" customHeight="1">
      <c r="A179" s="2" t="inlineStr">
        <is>
          <t>2646</t>
        </is>
      </c>
      <c r="B179" s="2" t="inlineStr">
        <is>
          <t>星宇航空</t>
        </is>
      </c>
      <c r="C179" s="2" t="inlineStr">
        <is>
          <t>航運業</t>
        </is>
      </c>
      <c r="D179" s="3" t="n">
        <v>20.17</v>
      </c>
      <c r="E179" s="3" t="n">
        <v>9.869999999999999</v>
      </c>
      <c r="F179" s="3" t="n">
        <v>6.61</v>
      </c>
      <c r="G179" s="3" t="n">
        <v>3.8</v>
      </c>
      <c r="H179" s="3" t="n">
        <v>-5.69</v>
      </c>
      <c r="I179" s="3" t="n">
        <v>-8.49</v>
      </c>
      <c r="J179" s="4">
        <f>IF(OR(D179="",G179=""),"",G179-D179)</f>
        <v/>
      </c>
      <c r="K179" s="4">
        <f>IF(OR(E179="",H179=""),"",H179-E179)</f>
        <v/>
      </c>
      <c r="L179" s="4">
        <f>IF(OR(F179="",I179=""),"",I179-F179)</f>
        <v/>
      </c>
      <c r="M179" s="3" t="n">
        <v>0.3</v>
      </c>
      <c r="N179" s="3" t="n">
        <v>-0.11</v>
      </c>
      <c r="O179" s="3" t="n">
        <v>-0.41</v>
      </c>
      <c r="P179" s="3" t="n"/>
      <c r="Q179" s="3" t="n">
        <v>19.75</v>
      </c>
      <c r="R179" s="3" t="n"/>
      <c r="S179" s="3">
        <f>IF(OR(Q179="",R179="",Q179=0),"",R179/Q179*100)</f>
        <v/>
      </c>
    </row>
    <row r="180" ht="16" customHeight="1">
      <c r="A180" s="2" t="inlineStr">
        <is>
          <t>2704</t>
        </is>
      </c>
      <c r="B180" s="2" t="inlineStr">
        <is>
          <t>國賓</t>
        </is>
      </c>
      <c r="C180" s="2" t="inlineStr">
        <is>
          <t>觀光事業</t>
        </is>
      </c>
      <c r="D180" s="3" t="n">
        <v>29.89</v>
      </c>
      <c r="E180" s="3" t="n">
        <v>3.11</v>
      </c>
      <c r="F180" s="3" t="n">
        <v>15.54</v>
      </c>
      <c r="G180" s="3" t="n">
        <v>30.29</v>
      </c>
      <c r="H180" s="3" t="n">
        <v>2.97</v>
      </c>
      <c r="I180" s="3" t="n">
        <v>169.18</v>
      </c>
      <c r="J180" s="4">
        <f>IF(OR(D180="",G180=""),"",G180-D180)</f>
        <v/>
      </c>
      <c r="K180" s="4">
        <f>IF(OR(E180="",H180=""),"",H180-E180)</f>
        <v/>
      </c>
      <c r="L180" s="4">
        <f>IF(OR(F180="",I180=""),"",I180-F180)</f>
        <v/>
      </c>
      <c r="M180" s="3" t="n">
        <v>0.16</v>
      </c>
      <c r="N180" s="3" t="n">
        <v>1.67</v>
      </c>
      <c r="O180" s="3" t="n">
        <v>1.51</v>
      </c>
      <c r="P180" s="3" t="n">
        <v>17.48</v>
      </c>
      <c r="Q180" s="3" t="n">
        <v>44.2</v>
      </c>
      <c r="R180" s="3" t="n">
        <v>0.5</v>
      </c>
      <c r="S180" s="3">
        <f>IF(OR(Q180="",R180="",Q180=0),"",R180/Q180*100)</f>
        <v/>
      </c>
    </row>
    <row r="181" ht="16" customHeight="1">
      <c r="A181" s="2" t="inlineStr">
        <is>
          <t>2707</t>
        </is>
      </c>
      <c r="B181" s="2" t="inlineStr">
        <is>
          <t>晶華</t>
        </is>
      </c>
      <c r="C181" s="2" t="inlineStr">
        <is>
          <t>觀光餐旅</t>
        </is>
      </c>
      <c r="D181" s="3" t="n">
        <v>35.95</v>
      </c>
      <c r="E181" s="3" t="n">
        <v>28.89</v>
      </c>
      <c r="F181" s="3" t="n">
        <v>37.64</v>
      </c>
      <c r="G181" s="3" t="n">
        <v>33.46</v>
      </c>
      <c r="H181" s="3" t="n">
        <v>25.38</v>
      </c>
      <c r="I181" s="3" t="n">
        <v>22.62</v>
      </c>
      <c r="J181" s="4">
        <f>IF(OR(D181="",G181=""),"",G181-D181)</f>
        <v/>
      </c>
      <c r="K181" s="4">
        <f>IF(OR(E181="",H181=""),"",H181-E181)</f>
        <v/>
      </c>
      <c r="L181" s="4">
        <f>IF(OR(F181="",I181=""),"",I181-F181)</f>
        <v/>
      </c>
      <c r="M181" s="3" t="n">
        <v>5.73</v>
      </c>
      <c r="N181" s="3" t="n">
        <v>8.619999999999999</v>
      </c>
      <c r="O181" s="3" t="n">
        <v>2.89</v>
      </c>
      <c r="P181" s="3" t="n">
        <v>12.67</v>
      </c>
      <c r="Q181" s="3" t="n">
        <v>175</v>
      </c>
      <c r="R181" s="3" t="n">
        <v>10.75</v>
      </c>
      <c r="S181" s="3">
        <f>IF(OR(Q181="",R181="",Q181=0),"",R181/Q181*100)</f>
        <v/>
      </c>
    </row>
    <row r="182" ht="16" customHeight="1">
      <c r="A182" s="2" t="inlineStr">
        <is>
          <t>2727</t>
        </is>
      </c>
      <c r="B182" s="2" t="inlineStr">
        <is>
          <t>王品</t>
        </is>
      </c>
      <c r="C182" s="2" t="inlineStr">
        <is>
          <t>觀光餐旅</t>
        </is>
      </c>
      <c r="D182" s="3" t="n">
        <v>47.7</v>
      </c>
      <c r="E182" s="3" t="n">
        <v>8.300000000000001</v>
      </c>
      <c r="F182" s="3" t="n">
        <v>6.5</v>
      </c>
      <c r="G182" s="3" t="n">
        <v>47.6</v>
      </c>
      <c r="H182" s="3" t="n">
        <v>7.8</v>
      </c>
      <c r="I182" s="3" t="n">
        <v>6.3</v>
      </c>
      <c r="J182" s="4">
        <f>IF(OR(D182="",G182=""),"",G182-D182)</f>
        <v/>
      </c>
      <c r="K182" s="4">
        <f>IF(OR(E182="",H182=""),"",H182-E182)</f>
        <v/>
      </c>
      <c r="L182" s="4">
        <f>IF(OR(F182="",I182=""),"",I182-F182)</f>
        <v/>
      </c>
      <c r="M182" s="3" t="n">
        <v>5.04</v>
      </c>
      <c r="N182" s="3" t="n">
        <v>9.859999999999999</v>
      </c>
      <c r="O182" s="3" t="n">
        <v>4.82</v>
      </c>
      <c r="P182" s="3" t="n">
        <v>13.19</v>
      </c>
      <c r="Q182" s="3" t="n">
        <v>246</v>
      </c>
      <c r="R182" s="3" t="n">
        <v>16.12</v>
      </c>
      <c r="S182" s="3">
        <f>IF(OR(Q182="",R182="",Q182=0),"",R182/Q182*100)</f>
        <v/>
      </c>
    </row>
    <row r="183" ht="16" customHeight="1">
      <c r="A183" s="2" t="inlineStr">
        <is>
          <t>2903</t>
        </is>
      </c>
      <c r="B183" s="2" t="inlineStr">
        <is>
          <t>遠百</t>
        </is>
      </c>
      <c r="C183" s="2" t="inlineStr">
        <is>
          <t>貿易百貨</t>
        </is>
      </c>
      <c r="D183" s="3" t="n">
        <v>57.96</v>
      </c>
      <c r="E183" s="3" t="n">
        <v>14.91</v>
      </c>
      <c r="F183" s="3" t="n">
        <v>7.26</v>
      </c>
      <c r="G183" s="3" t="n">
        <v>60.47</v>
      </c>
      <c r="H183" s="3" t="n">
        <v>13.09</v>
      </c>
      <c r="I183" s="3" t="n">
        <v>2.83</v>
      </c>
      <c r="J183" s="4">
        <f>IF(OR(D183="",G183=""),"",G183-D183)</f>
        <v/>
      </c>
      <c r="K183" s="4">
        <f>IF(OR(E183="",H183=""),"",H183-E183)</f>
        <v/>
      </c>
      <c r="L183" s="4">
        <f>IF(OR(F183="",I183=""),"",I183-F183)</f>
        <v/>
      </c>
      <c r="M183" s="3" t="n">
        <v>0.39</v>
      </c>
      <c r="N183" s="3" t="n">
        <v>0.55</v>
      </c>
      <c r="O183" s="3" t="n">
        <v>0.16</v>
      </c>
      <c r="P183" s="3" t="n"/>
      <c r="Q183" s="3" t="n">
        <v>21.85</v>
      </c>
      <c r="R183" s="3" t="n">
        <v>1.25</v>
      </c>
      <c r="S183" s="3">
        <f>IF(OR(Q183="",R183="",Q183=0),"",R183/Q183*100)</f>
        <v/>
      </c>
    </row>
    <row r="184" ht="16" customHeight="1">
      <c r="A184" s="2" t="inlineStr">
        <is>
          <t>2905</t>
        </is>
      </c>
      <c r="B184" s="2" t="inlineStr">
        <is>
          <t>三商</t>
        </is>
      </c>
      <c r="C184" s="2" t="inlineStr">
        <is>
          <t>貿易百貨</t>
        </is>
      </c>
      <c r="D184" s="3" t="n">
        <v>9.65</v>
      </c>
      <c r="E184" s="3" t="n">
        <v>-0.23</v>
      </c>
      <c r="F184" s="3" t="n">
        <v>0</v>
      </c>
      <c r="G184" s="3" t="n">
        <v>15.26</v>
      </c>
      <c r="H184" s="3" t="n">
        <v>9.74</v>
      </c>
      <c r="I184" s="3" t="n">
        <v>8.59</v>
      </c>
      <c r="J184" s="4">
        <f>IF(OR(D184="",G184=""),"",G184-D184)</f>
        <v/>
      </c>
      <c r="K184" s="4">
        <f>IF(OR(E184="",H184=""),"",H184-E184)</f>
        <v/>
      </c>
      <c r="L184" s="4">
        <f>IF(OR(F184="",I184=""),"",I184-F184)</f>
        <v/>
      </c>
      <c r="M184" s="3" t="n">
        <v>0.03</v>
      </c>
      <c r="N184" s="3" t="n">
        <v>1.93</v>
      </c>
      <c r="O184" s="3" t="n">
        <v>1.9</v>
      </c>
      <c r="P184" s="3" t="n">
        <v>6.51</v>
      </c>
      <c r="Q184" s="3" t="n">
        <v>18.05</v>
      </c>
      <c r="R184" s="3" t="n">
        <v>0</v>
      </c>
      <c r="S184" s="3">
        <f>IF(OR(Q184="",R184="",Q184=0),"",R184/Q184*100)</f>
        <v/>
      </c>
    </row>
    <row r="185" ht="16" customHeight="1">
      <c r="A185" s="2" t="inlineStr">
        <is>
          <t>2912</t>
        </is>
      </c>
      <c r="B185" s="2" t="inlineStr">
        <is>
          <t>統一超</t>
        </is>
      </c>
      <c r="C185" s="2" t="inlineStr">
        <is>
          <t>貿易百貨</t>
        </is>
      </c>
      <c r="D185" s="3" t="n">
        <v>34.58</v>
      </c>
      <c r="E185" s="3" t="n">
        <v>4.26</v>
      </c>
      <c r="F185" s="3" t="n">
        <v>4.03</v>
      </c>
      <c r="G185" s="3" t="n">
        <v>34.58</v>
      </c>
      <c r="H185" s="3" t="n">
        <v>4.18</v>
      </c>
      <c r="I185" s="3" t="n">
        <v>4.07</v>
      </c>
      <c r="J185" s="4">
        <f>IF(OR(D185="",G185=""),"",G185-D185)</f>
        <v/>
      </c>
      <c r="K185" s="4">
        <f>IF(OR(E185="",H185=""),"",H185-E185)</f>
        <v/>
      </c>
      <c r="L185" s="4">
        <f>IF(OR(F185="",I185=""),"",I185-F185)</f>
        <v/>
      </c>
      <c r="M185" s="3" t="n">
        <v>2.97</v>
      </c>
      <c r="N185" s="3" t="n">
        <v>6.09</v>
      </c>
      <c r="O185" s="3" t="n">
        <v>3.12</v>
      </c>
      <c r="P185" s="3" t="n">
        <v>19.32</v>
      </c>
      <c r="Q185" s="3" t="n">
        <v>225.5</v>
      </c>
      <c r="R185" s="3" t="n">
        <v>9</v>
      </c>
      <c r="S185" s="3">
        <f>IF(OR(Q185="",R185="",Q185=0),"",R185/Q185*100)</f>
        <v/>
      </c>
    </row>
    <row r="186" ht="16" customHeight="1">
      <c r="A186" s="2" t="inlineStr">
        <is>
          <t>2915</t>
        </is>
      </c>
      <c r="B186" s="2" t="inlineStr">
        <is>
          <t>潤泰全</t>
        </is>
      </c>
      <c r="C186" s="2" t="inlineStr">
        <is>
          <t>貿易百貨</t>
        </is>
      </c>
      <c r="D186" s="3" t="n">
        <v>44.7</v>
      </c>
      <c r="E186" s="3" t="n">
        <v>-1.96</v>
      </c>
      <c r="F186" s="3" t="n">
        <v>649.29</v>
      </c>
      <c r="G186" s="3" t="n">
        <v>49.29</v>
      </c>
      <c r="H186" s="3" t="n">
        <v>13.32</v>
      </c>
      <c r="I186" s="3" t="n">
        <v>1184.77</v>
      </c>
      <c r="J186" s="4">
        <f>IF(OR(D186="",G186=""),"",G186-D186)</f>
        <v/>
      </c>
      <c r="K186" s="4">
        <f>IF(OR(E186="",H186=""),"",H186-E186)</f>
        <v/>
      </c>
      <c r="L186" s="4">
        <f>IF(OR(F186="",I186=""),"",I186-F186)</f>
        <v/>
      </c>
      <c r="M186" s="3" t="n">
        <v>2.59</v>
      </c>
      <c r="N186" s="3" t="n">
        <v>8.949999999999999</v>
      </c>
      <c r="O186" s="3" t="n">
        <v>6.36</v>
      </c>
      <c r="P186" s="3" t="n">
        <v>4.28</v>
      </c>
      <c r="Q186" s="3" t="n">
        <v>57.6</v>
      </c>
      <c r="R186" s="3" t="n">
        <v>1.9</v>
      </c>
      <c r="S186" s="3">
        <f>IF(OR(Q186="",R186="",Q186=0),"",R186/Q186*100)</f>
        <v/>
      </c>
    </row>
    <row r="187" ht="16" customHeight="1">
      <c r="A187" s="2" t="inlineStr">
        <is>
          <t>2923</t>
        </is>
      </c>
      <c r="B187" s="2" t="inlineStr">
        <is>
          <t>鼎固-KY</t>
        </is>
      </c>
      <c r="C187" s="2" t="inlineStr">
        <is>
          <t>建材營造</t>
        </is>
      </c>
      <c r="D187" s="3" t="n">
        <v>59.16</v>
      </c>
      <c r="E187" s="3" t="n">
        <v>52.88</v>
      </c>
      <c r="F187" s="3" t="n">
        <v>1.41</v>
      </c>
      <c r="G187" s="3" t="n">
        <v>48.68</v>
      </c>
      <c r="H187" s="3" t="n">
        <v>-22.34</v>
      </c>
      <c r="I187" s="3" t="n">
        <v>5.91</v>
      </c>
      <c r="J187" s="4">
        <f>IF(OR(D187="",G187=""),"",G187-D187)</f>
        <v/>
      </c>
      <c r="K187" s="4">
        <f>IF(OR(E187="",H187=""),"",H187-E187)</f>
        <v/>
      </c>
      <c r="L187" s="4">
        <f>IF(OR(F187="",I187=""),"",I187-F187)</f>
        <v/>
      </c>
      <c r="M187" s="3" t="n">
        <v>0.02</v>
      </c>
      <c r="N187" s="3" t="n">
        <v>-0.11</v>
      </c>
      <c r="O187" s="3" t="n">
        <v>-0.13</v>
      </c>
      <c r="P187" s="3" t="n"/>
      <c r="Q187" s="3" t="n">
        <v>27</v>
      </c>
      <c r="R187" s="3" t="n">
        <v>0.12</v>
      </c>
      <c r="S187" s="3">
        <f>IF(OR(Q187="",R187="",Q187=0),"",R187/Q187*100)</f>
        <v/>
      </c>
    </row>
    <row r="188" ht="16" customHeight="1">
      <c r="A188" s="2" t="inlineStr">
        <is>
          <t>3005</t>
        </is>
      </c>
      <c r="B188" s="2" t="inlineStr">
        <is>
          <t>神基</t>
        </is>
      </c>
      <c r="C188" s="2" t="inlineStr">
        <is>
          <t>電子工業</t>
        </is>
      </c>
      <c r="D188" s="3" t="n">
        <v>31.06</v>
      </c>
      <c r="E188" s="3" t="n">
        <v>13.51</v>
      </c>
      <c r="F188" s="3" t="n">
        <v>12.63</v>
      </c>
      <c r="G188" s="3" t="n">
        <v>31.7</v>
      </c>
      <c r="H188" s="3" t="n">
        <v>16.82</v>
      </c>
      <c r="I188" s="3" t="n">
        <v>14.42</v>
      </c>
      <c r="J188" s="4">
        <f>IF(OR(D188="",G188=""),"",G188-D188)</f>
        <v/>
      </c>
      <c r="K188" s="4">
        <f>IF(OR(E188="",H188=""),"",H188-E188)</f>
        <v/>
      </c>
      <c r="L188" s="4">
        <f>IF(OR(F188="",I188=""),"",I188-F188)</f>
        <v/>
      </c>
      <c r="M188" s="3" t="n">
        <v>1.74</v>
      </c>
      <c r="N188" s="3" t="n">
        <v>4.2</v>
      </c>
      <c r="O188" s="3" t="n">
        <v>2.46</v>
      </c>
      <c r="P188" s="3" t="n">
        <v>13.84</v>
      </c>
      <c r="Q188" s="3" t="n">
        <v>123</v>
      </c>
      <c r="R188" s="3" t="n">
        <v>6.79</v>
      </c>
      <c r="S188" s="3">
        <f>IF(OR(Q188="",R188="",Q188=0),"",R188/Q188*100)</f>
        <v/>
      </c>
    </row>
    <row r="189" ht="16" customHeight="1">
      <c r="A189" s="2" t="inlineStr">
        <is>
          <t>3006</t>
        </is>
      </c>
      <c r="B189" s="2" t="inlineStr">
        <is>
          <t>晶豪科</t>
        </is>
      </c>
      <c r="C189" s="2" t="inlineStr">
        <is>
          <t>半導體業</t>
        </is>
      </c>
      <c r="D189" s="3" t="n">
        <v>47.52</v>
      </c>
      <c r="E189" s="3" t="n">
        <v>31.03</v>
      </c>
      <c r="F189" s="3" t="n">
        <v>28.4</v>
      </c>
      <c r="G189" s="3" t="n">
        <v>68.7</v>
      </c>
      <c r="H189" s="3" t="n">
        <v>51.43</v>
      </c>
      <c r="I189" s="3" t="n">
        <v>42.34</v>
      </c>
      <c r="J189" s="4">
        <f>IF(OR(D189="",G189=""),"",G189-D189)</f>
        <v/>
      </c>
      <c r="K189" s="4">
        <f>IF(OR(E189="",H189=""),"",H189-E189)</f>
        <v/>
      </c>
      <c r="L189" s="4">
        <f>IF(OR(F189="",I189=""),"",I189-F189)</f>
        <v/>
      </c>
      <c r="M189" s="3" t="n">
        <v>7.22</v>
      </c>
      <c r="N189" s="3" t="n">
        <v>27.43</v>
      </c>
      <c r="O189" s="3" t="n">
        <v>20.21</v>
      </c>
      <c r="P189" s="3" t="n">
        <v>8.09</v>
      </c>
      <c r="Q189" s="3" t="n">
        <v>277</v>
      </c>
      <c r="R189" s="3" t="n">
        <v>1</v>
      </c>
      <c r="S189" s="3">
        <f>IF(OR(Q189="",R189="",Q189=0),"",R189/Q189*100)</f>
        <v/>
      </c>
    </row>
    <row r="190" ht="16" customHeight="1">
      <c r="A190" s="2" t="inlineStr">
        <is>
          <t>3008</t>
        </is>
      </c>
      <c r="B190" s="2" t="inlineStr">
        <is>
          <t>大立光</t>
        </is>
      </c>
      <c r="C190" s="2" t="inlineStr">
        <is>
          <t>光電業</t>
        </is>
      </c>
      <c r="D190" s="3" t="n">
        <v>49.41</v>
      </c>
      <c r="E190" s="3" t="n">
        <v>37.39</v>
      </c>
      <c r="F190" s="3" t="n">
        <v>39.73</v>
      </c>
      <c r="G190" s="3" t="n">
        <v>49.42</v>
      </c>
      <c r="H190" s="3" t="n">
        <v>37.67</v>
      </c>
      <c r="I190" s="3" t="n">
        <v>34.58</v>
      </c>
      <c r="J190" s="4">
        <f>IF(OR(D190="",G190=""),"",G190-D190)</f>
        <v/>
      </c>
      <c r="K190" s="4">
        <f>IF(OR(E190="",H190=""),"",H190-E190)</f>
        <v/>
      </c>
      <c r="L190" s="4">
        <f>IF(OR(F190="",I190=""),"",I190-F190)</f>
        <v/>
      </c>
      <c r="M190" s="3" t="n">
        <v>46.63</v>
      </c>
      <c r="N190" s="3" t="n">
        <v>82.3</v>
      </c>
      <c r="O190" s="3" t="n">
        <v>35.67</v>
      </c>
      <c r="P190" s="3" t="n">
        <v>24.52</v>
      </c>
      <c r="Q190" s="3" t="n">
        <v>5430</v>
      </c>
      <c r="R190" s="3" t="n">
        <v>93.5</v>
      </c>
      <c r="S190" s="3">
        <f>IF(OR(Q190="",R190="",Q190=0),"",R190/Q190*100)</f>
        <v/>
      </c>
    </row>
    <row r="191" ht="16" customHeight="1">
      <c r="A191" s="2" t="inlineStr">
        <is>
          <t>3010</t>
        </is>
      </c>
      <c r="B191" s="2" t="inlineStr">
        <is>
          <t>華立</t>
        </is>
      </c>
      <c r="C191" s="2" t="inlineStr">
        <is>
          <t>電子工業</t>
        </is>
      </c>
      <c r="D191" s="3" t="n">
        <v>8.140000000000001</v>
      </c>
      <c r="E191" s="3" t="n">
        <v>3.83</v>
      </c>
      <c r="F191" s="3" t="n">
        <v>3.4</v>
      </c>
      <c r="G191" s="3" t="n">
        <v>8.34</v>
      </c>
      <c r="H191" s="3" t="n">
        <v>4.24</v>
      </c>
      <c r="I191" s="3" t="n">
        <v>4.21</v>
      </c>
      <c r="J191" s="4">
        <f>IF(OR(D191="",G191=""),"",G191-D191)</f>
        <v/>
      </c>
      <c r="K191" s="4">
        <f>IF(OR(E191="",H191=""),"",H191-E191)</f>
        <v/>
      </c>
      <c r="L191" s="4">
        <f>IF(OR(F191="",I191=""),"",I191-F191)</f>
        <v/>
      </c>
      <c r="M191" s="3" t="n">
        <v>2.47</v>
      </c>
      <c r="N191" s="3" t="n">
        <v>5.93</v>
      </c>
      <c r="O191" s="3" t="n">
        <v>3.46</v>
      </c>
      <c r="P191" s="3" t="n"/>
      <c r="Q191" s="3" t="n">
        <v>131</v>
      </c>
      <c r="R191" s="3" t="n">
        <v>5.3</v>
      </c>
      <c r="S191" s="3">
        <f>IF(OR(Q191="",R191="",Q191=0),"",R191/Q191*100)</f>
        <v/>
      </c>
    </row>
    <row r="192" ht="16" customHeight="1">
      <c r="A192" s="2" t="inlineStr">
        <is>
          <t>3013</t>
        </is>
      </c>
      <c r="B192" s="2" t="inlineStr">
        <is>
          <t>晟銘電</t>
        </is>
      </c>
      <c r="C192" s="2" t="inlineStr">
        <is>
          <t>電腦及週邊設備業</t>
        </is>
      </c>
      <c r="D192" s="3" t="n">
        <v>21.15</v>
      </c>
      <c r="E192" s="3" t="n">
        <v>13.33</v>
      </c>
      <c r="F192" s="3" t="n">
        <v>9.6</v>
      </c>
      <c r="G192" s="3" t="n">
        <v>20.52</v>
      </c>
      <c r="H192" s="3" t="n">
        <v>13.36</v>
      </c>
      <c r="I192" s="3" t="n">
        <v>9</v>
      </c>
      <c r="J192" s="4">
        <f>IF(OR(D192="",G192=""),"",G192-D192)</f>
        <v/>
      </c>
      <c r="K192" s="4">
        <f>IF(OR(E192="",H192=""),"",H192-E192)</f>
        <v/>
      </c>
      <c r="L192" s="4">
        <f>IF(OR(F192="",I192=""),"",I192-F192)</f>
        <v/>
      </c>
      <c r="M192" s="3" t="n">
        <v>1.37</v>
      </c>
      <c r="N192" s="3" t="n">
        <v>2.78</v>
      </c>
      <c r="O192" s="3" t="n">
        <v>1.41</v>
      </c>
      <c r="P192" s="3" t="n">
        <v>15.88</v>
      </c>
      <c r="Q192" s="3" t="n">
        <v>82.40000000000001</v>
      </c>
      <c r="R192" s="3" t="n">
        <v>0.4</v>
      </c>
      <c r="S192" s="3">
        <f>IF(OR(Q192="",R192="",Q192=0),"",R192/Q192*100)</f>
        <v/>
      </c>
    </row>
    <row r="193" ht="16" customHeight="1">
      <c r="A193" s="2" t="inlineStr">
        <is>
          <t>3014</t>
        </is>
      </c>
      <c r="B193" s="2" t="inlineStr">
        <is>
          <t>聯陽</t>
        </is>
      </c>
      <c r="C193" s="2" t="inlineStr">
        <is>
          <t>半導體業</t>
        </is>
      </c>
      <c r="D193" s="3" t="n">
        <v>57.22</v>
      </c>
      <c r="E193" s="3" t="n">
        <v>28.73</v>
      </c>
      <c r="F193" s="3" t="n">
        <v>26.45</v>
      </c>
      <c r="G193" s="3" t="n">
        <v>57.22</v>
      </c>
      <c r="H193" s="3" t="n">
        <v>28.24</v>
      </c>
      <c r="I193" s="3" t="n">
        <v>26.6</v>
      </c>
      <c r="J193" s="4">
        <f>IF(OR(D193="",G193=""),"",G193-D193)</f>
        <v/>
      </c>
      <c r="K193" s="4">
        <f>IF(OR(E193="",H193=""),"",H193-E193)</f>
        <v/>
      </c>
      <c r="L193" s="4">
        <f>IF(OR(F193="",I193=""),"",I193-F193)</f>
        <v/>
      </c>
      <c r="M193" s="3" t="n">
        <v>2.85</v>
      </c>
      <c r="N193" s="3" t="n">
        <v>5.88</v>
      </c>
      <c r="O193" s="3" t="n">
        <v>3.03</v>
      </c>
      <c r="P193" s="3" t="n">
        <v>13.13</v>
      </c>
      <c r="Q193" s="3" t="n">
        <v>138</v>
      </c>
      <c r="R193" s="3" t="n">
        <v>7.5</v>
      </c>
      <c r="S193" s="3">
        <f>IF(OR(Q193="",R193="",Q193=0),"",R193/Q193*100)</f>
        <v/>
      </c>
    </row>
    <row r="194" ht="16" customHeight="1">
      <c r="A194" s="2" t="inlineStr">
        <is>
          <t>3016</t>
        </is>
      </c>
      <c r="B194" s="2" t="inlineStr">
        <is>
          <t>嘉晶</t>
        </is>
      </c>
      <c r="C194" s="2" t="inlineStr">
        <is>
          <t>半導體業</t>
        </is>
      </c>
      <c r="D194" s="3" t="n">
        <v>17.77</v>
      </c>
      <c r="E194" s="3" t="n">
        <v>10.6</v>
      </c>
      <c r="F194" s="3" t="n">
        <v>9.5</v>
      </c>
      <c r="G194" s="3" t="n">
        <v>23.45</v>
      </c>
      <c r="H194" s="3" t="n">
        <v>16.92</v>
      </c>
      <c r="I194" s="3" t="n">
        <v>14.34</v>
      </c>
      <c r="J194" s="4">
        <f>IF(OR(D194="",G194=""),"",G194-D194)</f>
        <v/>
      </c>
      <c r="K194" s="4">
        <f>IF(OR(E194="",H194=""),"",H194-E194)</f>
        <v/>
      </c>
      <c r="L194" s="4">
        <f>IF(OR(F194="",I194=""),"",I194-F194)</f>
        <v/>
      </c>
      <c r="M194" s="3" t="n">
        <v>0.35</v>
      </c>
      <c r="N194" s="3" t="n">
        <v>1</v>
      </c>
      <c r="O194" s="3" t="n">
        <v>0.65</v>
      </c>
      <c r="P194" s="3" t="n">
        <v>82</v>
      </c>
      <c r="Q194" s="3" t="n">
        <v>125.5</v>
      </c>
      <c r="R194" s="3" t="n">
        <v>0.5</v>
      </c>
      <c r="S194" s="3">
        <f>IF(OR(Q194="",R194="",Q194=0),"",R194/Q194*100)</f>
        <v/>
      </c>
    </row>
    <row r="195" ht="16" customHeight="1">
      <c r="A195" s="2" t="inlineStr">
        <is>
          <t>3017</t>
        </is>
      </c>
      <c r="B195" s="2" t="inlineStr">
        <is>
          <t>奇鋐</t>
        </is>
      </c>
      <c r="C195" s="2" t="inlineStr">
        <is>
          <t>電子工業</t>
        </is>
      </c>
      <c r="D195" s="3" t="n">
        <v>29.77</v>
      </c>
      <c r="E195" s="3" t="n">
        <v>24.51</v>
      </c>
      <c r="F195" s="3" t="n">
        <v>17.69</v>
      </c>
      <c r="G195" s="3" t="n">
        <v>32.57</v>
      </c>
      <c r="H195" s="3" t="n">
        <v>27.43</v>
      </c>
      <c r="I195" s="3" t="n">
        <v>20.93</v>
      </c>
      <c r="J195" s="4">
        <f>IF(OR(D195="",G195=""),"",G195-D195)</f>
        <v/>
      </c>
      <c r="K195" s="4">
        <f>IF(OR(E195="",H195=""),"",H195-E195)</f>
        <v/>
      </c>
      <c r="L195" s="4">
        <f>IF(OR(F195="",I195=""),"",I195-F195)</f>
        <v/>
      </c>
      <c r="M195" s="3" t="n">
        <v>20.17</v>
      </c>
      <c r="N195" s="3" t="n">
        <v>44.07</v>
      </c>
      <c r="O195" s="3" t="n">
        <v>23.9</v>
      </c>
      <c r="P195" s="3" t="n">
        <v>43.12</v>
      </c>
      <c r="Q195" s="3" t="n">
        <v>3095</v>
      </c>
      <c r="R195" s="3" t="n">
        <v>17.9</v>
      </c>
      <c r="S195" s="3">
        <f>IF(OR(Q195="",R195="",Q195=0),"",R195/Q195*100)</f>
        <v/>
      </c>
    </row>
    <row r="196" ht="16" customHeight="1">
      <c r="A196" s="2" t="inlineStr">
        <is>
          <t>3019</t>
        </is>
      </c>
      <c r="B196" s="2" t="inlineStr">
        <is>
          <t>亞光</t>
        </is>
      </c>
      <c r="C196" s="2" t="inlineStr">
        <is>
          <t>光電業</t>
        </is>
      </c>
      <c r="D196" s="3" t="n">
        <v>17.29</v>
      </c>
      <c r="E196" s="3" t="n">
        <v>7.77</v>
      </c>
      <c r="F196" s="3" t="n">
        <v>5.71</v>
      </c>
      <c r="G196" s="3" t="n">
        <v>18.39</v>
      </c>
      <c r="H196" s="3" t="n">
        <v>10.05</v>
      </c>
      <c r="I196" s="3" t="n">
        <v>7.76</v>
      </c>
      <c r="J196" s="4">
        <f>IF(OR(D196="",G196=""),"",G196-D196)</f>
        <v/>
      </c>
      <c r="K196" s="4">
        <f>IF(OR(E196="",H196=""),"",H196-E196)</f>
        <v/>
      </c>
      <c r="L196" s="4">
        <f>IF(OR(F196="",I196=""),"",I196-F196)</f>
        <v/>
      </c>
      <c r="M196" s="3" t="n">
        <v>1.05</v>
      </c>
      <c r="N196" s="3" t="n">
        <v>2.98</v>
      </c>
      <c r="O196" s="3" t="n">
        <v>1.93</v>
      </c>
      <c r="P196" s="3" t="n">
        <v>22.85</v>
      </c>
      <c r="Q196" s="3" t="n">
        <v>124</v>
      </c>
      <c r="R196" s="3" t="n">
        <v>4.6</v>
      </c>
      <c r="S196" s="3">
        <f>IF(OR(Q196="",R196="",Q196=0),"",R196/Q196*100)</f>
        <v/>
      </c>
    </row>
    <row r="197" ht="16" customHeight="1">
      <c r="A197" s="2" t="inlineStr">
        <is>
          <t>3022</t>
        </is>
      </c>
      <c r="B197" s="2" t="inlineStr">
        <is>
          <t>威強電</t>
        </is>
      </c>
      <c r="C197" s="2" t="inlineStr">
        <is>
          <t>電腦及週邊設備業</t>
        </is>
      </c>
      <c r="D197" s="3" t="n">
        <v>28.15</v>
      </c>
      <c r="E197" s="3" t="n">
        <v>2.29</v>
      </c>
      <c r="F197" s="3" t="n">
        <v>10.48</v>
      </c>
      <c r="G197" s="3" t="n">
        <v>27.7</v>
      </c>
      <c r="H197" s="3" t="n">
        <v>9.15</v>
      </c>
      <c r="I197" s="3" t="n">
        <v>16.74</v>
      </c>
      <c r="J197" s="4">
        <f>IF(OR(D197="",G197=""),"",G197-D197)</f>
        <v/>
      </c>
      <c r="K197" s="4">
        <f>IF(OR(E197="",H197=""),"",H197-E197)</f>
        <v/>
      </c>
      <c r="L197" s="4">
        <f>IF(OR(F197="",I197=""),"",I197-F197)</f>
        <v/>
      </c>
      <c r="M197" s="3" t="n">
        <v>0.96</v>
      </c>
      <c r="N197" s="3" t="n">
        <v>3.3</v>
      </c>
      <c r="O197" s="3" t="n">
        <v>2.34</v>
      </c>
      <c r="P197" s="3" t="n">
        <v>11.98</v>
      </c>
      <c r="Q197" s="3" t="n">
        <v>87.3</v>
      </c>
      <c r="R197" s="3" t="n">
        <v>3.5</v>
      </c>
      <c r="S197" s="3">
        <f>IF(OR(Q197="",R197="",Q197=0),"",R197/Q197*100)</f>
        <v/>
      </c>
    </row>
    <row r="198" ht="16" customHeight="1">
      <c r="A198" s="2" t="inlineStr">
        <is>
          <t>3023</t>
        </is>
      </c>
      <c r="B198" s="2" t="inlineStr">
        <is>
          <t>信邦</t>
        </is>
      </c>
      <c r="C198" s="2" t="inlineStr">
        <is>
          <t>電子工業</t>
        </is>
      </c>
      <c r="D198" s="3" t="n">
        <v>24.51</v>
      </c>
      <c r="E198" s="3" t="n">
        <v>11.53</v>
      </c>
      <c r="F198" s="3" t="n">
        <v>10.4</v>
      </c>
      <c r="G198" s="3" t="n">
        <v>24.55</v>
      </c>
      <c r="H198" s="3" t="n">
        <v>10.42</v>
      </c>
      <c r="I198" s="3" t="n">
        <v>10.09</v>
      </c>
      <c r="J198" s="4">
        <f>IF(OR(D198="",G198=""),"",G198-D198)</f>
        <v/>
      </c>
      <c r="K198" s="4">
        <f>IF(OR(E198="",H198=""),"",H198-E198)</f>
        <v/>
      </c>
      <c r="L198" s="4">
        <f>IF(OR(F198="",I198=""),"",I198-F198)</f>
        <v/>
      </c>
      <c r="M198" s="3" t="n">
        <v>3.6</v>
      </c>
      <c r="N198" s="3" t="n">
        <v>7.4</v>
      </c>
      <c r="O198" s="3" t="n">
        <v>3.8</v>
      </c>
      <c r="P198" s="3" t="n">
        <v>23.34</v>
      </c>
      <c r="Q198" s="3" t="n">
        <v>250</v>
      </c>
      <c r="R198" s="3" t="n">
        <v>9.1</v>
      </c>
      <c r="S198" s="3">
        <f>IF(OR(Q198="",R198="",Q198=0),"",R198/Q198*100)</f>
        <v/>
      </c>
    </row>
    <row r="199" ht="16" customHeight="1">
      <c r="A199" s="2" t="inlineStr">
        <is>
          <t>3026</t>
        </is>
      </c>
      <c r="B199" s="2" t="inlineStr">
        <is>
          <t>禾伸堂</t>
        </is>
      </c>
      <c r="C199" s="2" t="inlineStr">
        <is>
          <t>電子工業</t>
        </is>
      </c>
      <c r="D199" s="3" t="n">
        <v>24.24</v>
      </c>
      <c r="E199" s="3" t="n">
        <v>13.36</v>
      </c>
      <c r="F199" s="3" t="n">
        <v>12.59</v>
      </c>
      <c r="G199" s="3" t="n">
        <v>26.18</v>
      </c>
      <c r="H199" s="3" t="n">
        <v>15.28</v>
      </c>
      <c r="I199" s="3" t="n">
        <v>14.95</v>
      </c>
      <c r="J199" s="4">
        <f>IF(OR(D199="",G199=""),"",G199-D199)</f>
        <v/>
      </c>
      <c r="K199" s="4">
        <f>IF(OR(E199="",H199=""),"",H199-E199)</f>
        <v/>
      </c>
      <c r="L199" s="4">
        <f>IF(OR(F199="",I199=""),"",I199-F199)</f>
        <v/>
      </c>
      <c r="M199" s="3" t="n">
        <v>2.86</v>
      </c>
      <c r="N199" s="3" t="n">
        <v>6.71</v>
      </c>
      <c r="O199" s="3" t="n">
        <v>3.85</v>
      </c>
      <c r="P199" s="3" t="n">
        <v>63.12</v>
      </c>
      <c r="Q199" s="3" t="n">
        <v>707</v>
      </c>
      <c r="R199" s="3" t="n">
        <v>5.8</v>
      </c>
      <c r="S199" s="3">
        <f>IF(OR(Q199="",R199="",Q199=0),"",R199/Q199*100)</f>
        <v/>
      </c>
    </row>
    <row r="200" ht="16" customHeight="1">
      <c r="A200" s="2" t="inlineStr">
        <is>
          <t>3028</t>
        </is>
      </c>
      <c r="B200" s="2" t="inlineStr">
        <is>
          <t>增你強</t>
        </is>
      </c>
      <c r="C200" s="2" t="inlineStr">
        <is>
          <t>電子通路業</t>
        </is>
      </c>
      <c r="D200" s="3" t="n">
        <v>9.1</v>
      </c>
      <c r="E200" s="3" t="n">
        <v>5.4</v>
      </c>
      <c r="F200" s="3" t="n">
        <v>4.08</v>
      </c>
      <c r="G200" s="3" t="n">
        <v>7.55</v>
      </c>
      <c r="H200" s="3" t="n">
        <v>3.96</v>
      </c>
      <c r="I200" s="3" t="n">
        <v>2.67</v>
      </c>
      <c r="J200" s="4">
        <f>IF(OR(D200="",G200=""),"",G200-D200)</f>
        <v/>
      </c>
      <c r="K200" s="4">
        <f>IF(OR(E200="",H200=""),"",H200-E200)</f>
        <v/>
      </c>
      <c r="L200" s="4">
        <f>IF(OR(F200="",I200=""),"",I200-F200)</f>
        <v/>
      </c>
      <c r="M200" s="3" t="n">
        <v>3.05</v>
      </c>
      <c r="N200" s="3" t="n">
        <v>5.24</v>
      </c>
      <c r="O200" s="3" t="n">
        <v>2.19</v>
      </c>
      <c r="P200" s="3" t="n">
        <v>9.35</v>
      </c>
      <c r="Q200" s="3" t="n">
        <v>59.6</v>
      </c>
      <c r="R200" s="3" t="n">
        <v>3</v>
      </c>
      <c r="S200" s="3">
        <f>IF(OR(Q200="",R200="",Q200=0),"",R200/Q200*100)</f>
        <v/>
      </c>
    </row>
    <row r="201" ht="16" customHeight="1">
      <c r="A201" s="2" t="inlineStr">
        <is>
          <t>3029</t>
        </is>
      </c>
      <c r="B201" s="2" t="inlineStr">
        <is>
          <t>零壹</t>
        </is>
      </c>
      <c r="C201" s="2" t="inlineStr">
        <is>
          <t>資訊服務業</t>
        </is>
      </c>
      <c r="D201" s="3" t="n">
        <v>11.8</v>
      </c>
      <c r="E201" s="3" t="n">
        <v>5.6</v>
      </c>
      <c r="F201" s="3" t="n">
        <v>5.03</v>
      </c>
      <c r="G201" s="3" t="n">
        <v>12.84</v>
      </c>
      <c r="H201" s="3" t="n">
        <v>7.01</v>
      </c>
      <c r="I201" s="3" t="n">
        <v>5.78</v>
      </c>
      <c r="J201" s="4">
        <f>IF(OR(D201="",G201=""),"",G201-D201)</f>
        <v/>
      </c>
      <c r="K201" s="4">
        <f>IF(OR(E201="",H201=""),"",H201-E201)</f>
        <v/>
      </c>
      <c r="L201" s="4">
        <f>IF(OR(F201="",I201=""),"",I201-F201)</f>
        <v/>
      </c>
      <c r="M201" s="3" t="n">
        <v>1.77</v>
      </c>
      <c r="N201" s="3" t="n">
        <v>3.63</v>
      </c>
      <c r="O201" s="3" t="n">
        <v>1.86</v>
      </c>
      <c r="P201" s="3" t="n">
        <v>15.83</v>
      </c>
      <c r="Q201" s="3" t="n">
        <v>124.5</v>
      </c>
      <c r="R201" s="3" t="n">
        <v>5.5</v>
      </c>
      <c r="S201" s="3">
        <f>IF(OR(Q201="",R201="",Q201=0),"",R201/Q201*100)</f>
        <v/>
      </c>
    </row>
    <row r="202" ht="16" customHeight="1">
      <c r="A202" s="2" t="inlineStr">
        <is>
          <t>3030</t>
        </is>
      </c>
      <c r="B202" s="2" t="inlineStr">
        <is>
          <t>德律</t>
        </is>
      </c>
      <c r="C202" s="2" t="inlineStr">
        <is>
          <t>其他電子業</t>
        </is>
      </c>
      <c r="D202" s="3" t="n">
        <v>60.27</v>
      </c>
      <c r="E202" s="3" t="n">
        <v>38.16</v>
      </c>
      <c r="F202" s="3" t="n">
        <v>33.85</v>
      </c>
      <c r="G202" s="3" t="n">
        <v>58.69</v>
      </c>
      <c r="H202" s="3" t="n">
        <v>38.95</v>
      </c>
      <c r="I202" s="3" t="n">
        <v>30.96</v>
      </c>
      <c r="J202" s="4">
        <f>IF(OR(D202="",G202=""),"",G202-D202)</f>
        <v/>
      </c>
      <c r="K202" s="4">
        <f>IF(OR(E202="",H202=""),"",H202-E202)</f>
        <v/>
      </c>
      <c r="L202" s="4">
        <f>IF(OR(F202="",I202=""),"",I202-F202)</f>
        <v/>
      </c>
      <c r="M202" s="3" t="n">
        <v>3.5</v>
      </c>
      <c r="N202" s="3" t="n">
        <v>7.36</v>
      </c>
      <c r="O202" s="3" t="n">
        <v>3.86</v>
      </c>
      <c r="P202" s="3" t="n">
        <v>22.35</v>
      </c>
      <c r="Q202" s="3" t="n">
        <v>252</v>
      </c>
      <c r="R202" s="3" t="n">
        <v>7</v>
      </c>
      <c r="S202" s="3">
        <f>IF(OR(Q202="",R202="",Q202=0),"",R202/Q202*100)</f>
        <v/>
      </c>
    </row>
    <row r="203" ht="16" customHeight="1">
      <c r="A203" s="2" t="inlineStr">
        <is>
          <t>3033</t>
        </is>
      </c>
      <c r="B203" s="2" t="inlineStr">
        <is>
          <t>威健</t>
        </is>
      </c>
      <c r="C203" s="2" t="inlineStr">
        <is>
          <t>電子通路業</t>
        </is>
      </c>
      <c r="D203" s="3" t="n">
        <v>6.18</v>
      </c>
      <c r="E203" s="3" t="n">
        <v>3.41</v>
      </c>
      <c r="F203" s="3" t="n">
        <v>2.36</v>
      </c>
      <c r="G203" s="3" t="n">
        <v>6.31</v>
      </c>
      <c r="H203" s="3" t="n">
        <v>3.84</v>
      </c>
      <c r="I203" s="3" t="n">
        <v>2.44</v>
      </c>
      <c r="J203" s="4">
        <f>IF(OR(D203="",G203=""),"",G203-D203)</f>
        <v/>
      </c>
      <c r="K203" s="4">
        <f>IF(OR(E203="",H203=""),"",H203-E203)</f>
        <v/>
      </c>
      <c r="L203" s="4">
        <f>IF(OR(F203="",I203=""),"",I203-F203)</f>
        <v/>
      </c>
      <c r="M203" s="3" t="n">
        <v>1.52</v>
      </c>
      <c r="N203" s="3" t="n">
        <v>3.38</v>
      </c>
      <c r="O203" s="3" t="n">
        <v>1.86</v>
      </c>
      <c r="P203" s="3" t="n">
        <v>9.99</v>
      </c>
      <c r="Q203" s="3" t="n">
        <v>40.9</v>
      </c>
      <c r="R203" s="3" t="n">
        <v>1.92</v>
      </c>
      <c r="S203" s="3">
        <f>IF(OR(Q203="",R203="",Q203=0),"",R203/Q203*100)</f>
        <v/>
      </c>
    </row>
    <row r="204" ht="16" customHeight="1">
      <c r="A204" s="2" t="inlineStr">
        <is>
          <t>3034</t>
        </is>
      </c>
      <c r="B204" s="2" t="inlineStr">
        <is>
          <t>聯詠</t>
        </is>
      </c>
      <c r="C204" s="2" t="inlineStr">
        <is>
          <t>半導體業</t>
        </is>
      </c>
      <c r="D204" s="3" t="n">
        <v>39.06</v>
      </c>
      <c r="E204" s="3" t="n">
        <v>17.4</v>
      </c>
      <c r="F204" s="3" t="n">
        <v>16.28</v>
      </c>
      <c r="G204" s="3" t="n">
        <v>42.42</v>
      </c>
      <c r="H204" s="3" t="n">
        <v>22.57</v>
      </c>
      <c r="I204" s="3" t="n">
        <v>22.09</v>
      </c>
      <c r="J204" s="4">
        <f>IF(OR(D204="",G204=""),"",G204-D204)</f>
        <v/>
      </c>
      <c r="K204" s="4">
        <f>IF(OR(E204="",H204=""),"",H204-E204)</f>
        <v/>
      </c>
      <c r="L204" s="4">
        <f>IF(OR(F204="",I204=""),"",I204-F204)</f>
        <v/>
      </c>
      <c r="M204" s="3" t="n">
        <v>6.19</v>
      </c>
      <c r="N204" s="3" t="n">
        <v>16.59</v>
      </c>
      <c r="O204" s="3" t="n">
        <v>10.4</v>
      </c>
      <c r="P204" s="3" t="n">
        <v>17.86</v>
      </c>
      <c r="Q204" s="3" t="n">
        <v>575</v>
      </c>
      <c r="R204" s="3" t="n">
        <v>23</v>
      </c>
      <c r="S204" s="3">
        <f>IF(OR(Q204="",R204="",Q204=0),"",R204/Q204*100)</f>
        <v/>
      </c>
    </row>
    <row r="205" ht="16" customHeight="1">
      <c r="A205" s="2" t="inlineStr">
        <is>
          <t>3035</t>
        </is>
      </c>
      <c r="B205" s="2" t="inlineStr">
        <is>
          <t>智原</t>
        </is>
      </c>
      <c r="C205" s="2" t="inlineStr">
        <is>
          <t>半導體業</t>
        </is>
      </c>
      <c r="D205" s="3" t="n">
        <v>47.3</v>
      </c>
      <c r="E205" s="3" t="n">
        <v>3.7</v>
      </c>
      <c r="F205" s="3" t="n">
        <v>5.22</v>
      </c>
      <c r="G205" s="3" t="n">
        <v>45.23</v>
      </c>
      <c r="H205" s="3" t="n">
        <v>8.17</v>
      </c>
      <c r="I205" s="3" t="n">
        <v>8.619999999999999</v>
      </c>
      <c r="J205" s="4">
        <f>IF(OR(D205="",G205=""),"",G205-D205)</f>
        <v/>
      </c>
      <c r="K205" s="4">
        <f>IF(OR(E205="",H205=""),"",H205-E205)</f>
        <v/>
      </c>
      <c r="L205" s="4">
        <f>IF(OR(F205="",I205=""),"",I205-F205)</f>
        <v/>
      </c>
      <c r="M205" s="3" t="n">
        <v>0.4</v>
      </c>
      <c r="N205" s="3" t="n">
        <v>1.25</v>
      </c>
      <c r="O205" s="3" t="n">
        <v>0.85</v>
      </c>
      <c r="P205" s="3" t="n">
        <v>68.31</v>
      </c>
      <c r="Q205" s="3" t="n">
        <v>213.5</v>
      </c>
      <c r="R205" s="3" t="n">
        <v>1.8</v>
      </c>
      <c r="S205" s="3">
        <f>IF(OR(Q205="",R205="",Q205=0),"",R205/Q205*100)</f>
        <v/>
      </c>
    </row>
    <row r="206" ht="16" customHeight="1">
      <c r="A206" s="2" t="inlineStr">
        <is>
          <t>3036</t>
        </is>
      </c>
      <c r="B206" s="2" t="inlineStr">
        <is>
          <t>文曄</t>
        </is>
      </c>
      <c r="C206" s="2" t="inlineStr">
        <is>
          <t>電子工業</t>
        </is>
      </c>
      <c r="D206" s="3" t="n">
        <v>3.45</v>
      </c>
      <c r="E206" s="3" t="n">
        <v>2.01</v>
      </c>
      <c r="F206" s="3" t="n">
        <v>1.42</v>
      </c>
      <c r="G206" s="3" t="n">
        <v>3.41</v>
      </c>
      <c r="H206" s="3" t="n">
        <v>2.2</v>
      </c>
      <c r="I206" s="3" t="n">
        <v>1.65</v>
      </c>
      <c r="J206" s="4">
        <f>IF(OR(D206="",G206=""),"",G206-D206)</f>
        <v/>
      </c>
      <c r="K206" s="4">
        <f>IF(OR(E206="",H206=""),"",H206-E206)</f>
        <v/>
      </c>
      <c r="L206" s="4">
        <f>IF(OR(F206="",I206=""),"",I206-F206)</f>
        <v/>
      </c>
      <c r="M206" s="3" t="n">
        <v>5.32</v>
      </c>
      <c r="N206" s="3" t="n">
        <v>13</v>
      </c>
      <c r="O206" s="3" t="n">
        <v>7.68</v>
      </c>
      <c r="P206" s="3" t="n">
        <v>10.57</v>
      </c>
      <c r="Q206" s="3" t="n">
        <v>207</v>
      </c>
      <c r="R206" s="3" t="n">
        <v>7.8</v>
      </c>
      <c r="S206" s="3">
        <f>IF(OR(Q206="",R206="",Q206=0),"",R206/Q206*100)</f>
        <v/>
      </c>
    </row>
    <row r="207" ht="16" customHeight="1">
      <c r="A207" s="2" t="inlineStr">
        <is>
          <t>3037</t>
        </is>
      </c>
      <c r="B207" s="2" t="inlineStr">
        <is>
          <t>欣興</t>
        </is>
      </c>
      <c r="C207" s="2" t="inlineStr">
        <is>
          <t>電子工業</t>
        </is>
      </c>
      <c r="D207" s="3" t="n">
        <v>17.96</v>
      </c>
      <c r="E207" s="3" t="n">
        <v>7.36</v>
      </c>
      <c r="F207" s="3" t="n">
        <v>14.37</v>
      </c>
      <c r="G207" s="3" t="n">
        <v>24.8</v>
      </c>
      <c r="H207" s="3" t="n">
        <v>15.51</v>
      </c>
      <c r="I207" s="3" t="n">
        <v>31.12</v>
      </c>
      <c r="J207" s="4">
        <f>IF(OR(D207="",G207=""),"",G207-D207)</f>
        <v/>
      </c>
      <c r="K207" s="4">
        <f>IF(OR(E207="",H207=""),"",H207-E207)</f>
        <v/>
      </c>
      <c r="L207" s="4">
        <f>IF(OR(F207="",I207=""),"",I207-F207)</f>
        <v/>
      </c>
      <c r="M207" s="3" t="n">
        <v>3.28</v>
      </c>
      <c r="N207" s="3" t="n">
        <v>11.42</v>
      </c>
      <c r="O207" s="3" t="n">
        <v>8.140000000000001</v>
      </c>
      <c r="P207" s="3" t="n">
        <v>67.91</v>
      </c>
      <c r="Q207" s="3" t="n">
        <v>989</v>
      </c>
      <c r="R207" s="3" t="n">
        <v>1.98</v>
      </c>
      <c r="S207" s="3">
        <f>IF(OR(Q207="",R207="",Q207=0),"",R207/Q207*100)</f>
        <v/>
      </c>
    </row>
    <row r="208" ht="16" customHeight="1">
      <c r="A208" s="2" t="inlineStr">
        <is>
          <t>3042</t>
        </is>
      </c>
      <c r="B208" s="2" t="inlineStr">
        <is>
          <t>晶技</t>
        </is>
      </c>
      <c r="C208" s="2" t="inlineStr">
        <is>
          <t>電子工業</t>
        </is>
      </c>
      <c r="D208" s="3" t="n">
        <v>32.3</v>
      </c>
      <c r="E208" s="3" t="n">
        <v>15.1</v>
      </c>
      <c r="F208" s="3" t="n">
        <v>13.5</v>
      </c>
      <c r="G208" s="3" t="n"/>
      <c r="H208" s="3" t="n"/>
      <c r="I208" s="3" t="n"/>
      <c r="J208" s="4">
        <f>IF(OR(D208="",G208=""),"",G208-D208)</f>
        <v/>
      </c>
      <c r="K208" s="4">
        <f>IF(OR(E208="",H208=""),"",H208-E208)</f>
        <v/>
      </c>
      <c r="L208" s="4">
        <f>IF(OR(F208="",I208=""),"",I208-F208)</f>
        <v/>
      </c>
      <c r="M208" s="3" t="n">
        <v>1.32</v>
      </c>
      <c r="N208" s="3" t="n"/>
      <c r="O208" s="3" t="n"/>
      <c r="P208" s="3" t="n">
        <v>32.82</v>
      </c>
      <c r="Q208" s="3" t="n">
        <v>163.5</v>
      </c>
      <c r="R208" s="3" t="n">
        <v>4.8</v>
      </c>
      <c r="S208" s="3">
        <f>IF(OR(Q208="",R208="",Q208=0),"",R208/Q208*100)</f>
        <v/>
      </c>
    </row>
    <row r="209" ht="16" customHeight="1">
      <c r="A209" s="2" t="inlineStr">
        <is>
          <t>3044</t>
        </is>
      </c>
      <c r="B209" s="2" t="inlineStr">
        <is>
          <t>健鼎</t>
        </is>
      </c>
      <c r="C209" s="2" t="inlineStr">
        <is>
          <t>電子工業</t>
        </is>
      </c>
      <c r="D209" s="3" t="n">
        <v>26.51</v>
      </c>
      <c r="E209" s="3" t="n">
        <v>18.34</v>
      </c>
      <c r="F209" s="3" t="n">
        <v>14.05</v>
      </c>
      <c r="G209" s="3" t="n">
        <v>30.08</v>
      </c>
      <c r="H209" s="3" t="n">
        <v>22.47</v>
      </c>
      <c r="I209" s="3" t="n">
        <v>15.67</v>
      </c>
      <c r="J209" s="4">
        <f>IF(OR(D209="",G209=""),"",G209-D209)</f>
        <v/>
      </c>
      <c r="K209" s="4">
        <f>IF(OR(E209="",H209=""),"",H209-E209)</f>
        <v/>
      </c>
      <c r="L209" s="4">
        <f>IF(OR(F209="",I209=""),"",I209-F209)</f>
        <v/>
      </c>
      <c r="M209" s="3" t="n">
        <v>5.61</v>
      </c>
      <c r="N209" s="3" t="n">
        <v>13.03</v>
      </c>
      <c r="O209" s="3" t="n">
        <v>7.42</v>
      </c>
      <c r="P209" s="3" t="n">
        <v>20.91</v>
      </c>
      <c r="Q209" s="3" t="n">
        <v>512</v>
      </c>
      <c r="R209" s="3" t="n">
        <v>12.7</v>
      </c>
      <c r="S209" s="3">
        <f>IF(OR(Q209="",R209="",Q209=0),"",R209/Q209*100)</f>
        <v/>
      </c>
    </row>
    <row r="210" ht="16" customHeight="1">
      <c r="A210" s="2" t="inlineStr">
        <is>
          <t>3045</t>
        </is>
      </c>
      <c r="B210" s="2" t="inlineStr">
        <is>
          <t>台灣大</t>
        </is>
      </c>
      <c r="C210" s="2" t="inlineStr">
        <is>
          <t>通信網路業</t>
        </is>
      </c>
      <c r="D210" s="3" t="n">
        <v>21.56</v>
      </c>
      <c r="E210" s="3" t="n">
        <v>11.92</v>
      </c>
      <c r="F210" s="3" t="n">
        <v>9.09</v>
      </c>
      <c r="G210" s="3" t="n">
        <v>22.16</v>
      </c>
      <c r="H210" s="3" t="n">
        <v>12.38</v>
      </c>
      <c r="I210" s="3" t="n">
        <v>9.93</v>
      </c>
      <c r="J210" s="4">
        <f>IF(OR(D210="",G210=""),"",G210-D210)</f>
        <v/>
      </c>
      <c r="K210" s="4">
        <f>IF(OR(E210="",H210=""),"",H210-E210)</f>
        <v/>
      </c>
      <c r="L210" s="4">
        <f>IF(OR(F210="",I210=""),"",I210-F210)</f>
        <v/>
      </c>
      <c r="M210" s="3" t="n">
        <v>1.37</v>
      </c>
      <c r="N210" s="3" t="n">
        <v>2.86</v>
      </c>
      <c r="O210" s="3" t="n">
        <v>1.49</v>
      </c>
      <c r="P210" s="3" t="n">
        <v>21.74</v>
      </c>
      <c r="Q210" s="3" t="n">
        <v>133.5</v>
      </c>
      <c r="R210" s="3" t="n">
        <v>3.94</v>
      </c>
      <c r="S210" s="3">
        <f>IF(OR(Q210="",R210="",Q210=0),"",R210/Q210*100)</f>
        <v/>
      </c>
    </row>
    <row r="211" ht="16" customHeight="1">
      <c r="A211" s="2" t="inlineStr">
        <is>
          <t>3081</t>
        </is>
      </c>
      <c r="B211" s="2" t="inlineStr">
        <is>
          <t>聯亞</t>
        </is>
      </c>
      <c r="C211" s="2" t="inlineStr">
        <is>
          <t>通信網路業</t>
        </is>
      </c>
      <c r="D211" s="3" t="n">
        <v>54.76</v>
      </c>
      <c r="E211" s="3" t="n">
        <v>41.27</v>
      </c>
      <c r="F211" s="3" t="n">
        <v>35.11</v>
      </c>
      <c r="G211" s="3" t="n">
        <v>57.46</v>
      </c>
      <c r="H211" s="3" t="n">
        <v>46.89</v>
      </c>
      <c r="I211" s="3" t="n">
        <v>38.37</v>
      </c>
      <c r="J211" s="4">
        <f>IF(OR(D211="",G211=""),"",G211-D211)</f>
        <v/>
      </c>
      <c r="K211" s="4">
        <f>IF(OR(E211="",H211=""),"",H211-E211)</f>
        <v/>
      </c>
      <c r="L211" s="4">
        <f>IF(OR(F211="",I211=""),"",I211-F211)</f>
        <v/>
      </c>
      <c r="M211" s="3" t="n">
        <v>3.44</v>
      </c>
      <c r="N211" s="3" t="n">
        <v>8.52</v>
      </c>
      <c r="O211" s="3" t="n">
        <v>5.08</v>
      </c>
      <c r="P211" s="3" t="n">
        <v>218.59</v>
      </c>
      <c r="Q211" s="3" t="n">
        <v>2370</v>
      </c>
      <c r="R211" s="3" t="n">
        <v>3</v>
      </c>
      <c r="S211" s="3">
        <f>IF(OR(Q211="",R211="",Q211=0),"",R211/Q211*100)</f>
        <v/>
      </c>
    </row>
    <row r="212" ht="16" customHeight="1">
      <c r="A212" s="2" t="inlineStr">
        <is>
          <t>3088</t>
        </is>
      </c>
      <c r="B212" s="2" t="inlineStr">
        <is>
          <t>艾訊</t>
        </is>
      </c>
      <c r="C212" s="2" t="inlineStr">
        <is>
          <t>電子零組件</t>
        </is>
      </c>
      <c r="D212" s="3" t="n">
        <v>34.03</v>
      </c>
      <c r="E212" s="3" t="n">
        <v>12.88</v>
      </c>
      <c r="F212" s="3" t="n">
        <v>11.91</v>
      </c>
      <c r="G212" s="3" t="n">
        <v>32.28</v>
      </c>
      <c r="H212" s="3" t="n">
        <v>11.78</v>
      </c>
      <c r="I212" s="3" t="n">
        <v>9.119999999999999</v>
      </c>
      <c r="J212" s="4">
        <f>IF(OR(D212="",G212=""),"",G212-D212)</f>
        <v/>
      </c>
      <c r="K212" s="4">
        <f>IF(OR(E212="",H212=""),"",H212-E212)</f>
        <v/>
      </c>
      <c r="L212" s="4">
        <f>IF(OR(F212="",I212=""),"",I212-F212)</f>
        <v/>
      </c>
      <c r="M212" s="3" t="n">
        <v>2.25</v>
      </c>
      <c r="N212" s="3" t="n">
        <v>4.28</v>
      </c>
      <c r="O212" s="3" t="n">
        <v>2.03</v>
      </c>
      <c r="P212" s="3" t="n">
        <v>15.63</v>
      </c>
      <c r="Q212" s="3" t="n">
        <v>113.5</v>
      </c>
      <c r="R212" s="3" t="n">
        <v>2.9304</v>
      </c>
      <c r="S212" s="3">
        <f>IF(OR(Q212="",R212="",Q212=0),"",R212/Q212*100)</f>
        <v/>
      </c>
    </row>
    <row r="213" ht="16" customHeight="1">
      <c r="A213" s="2" t="inlineStr">
        <is>
          <t>3090</t>
        </is>
      </c>
      <c r="B213" s="2" t="inlineStr">
        <is>
          <t>日電貿</t>
        </is>
      </c>
      <c r="C213" s="2" t="inlineStr">
        <is>
          <t>電子零組件</t>
        </is>
      </c>
      <c r="D213" s="3" t="n">
        <v>19.84</v>
      </c>
      <c r="E213" s="3" t="n">
        <v>13.31</v>
      </c>
      <c r="F213" s="3" t="n">
        <v>10.94</v>
      </c>
      <c r="G213" s="3" t="n">
        <v>18.09</v>
      </c>
      <c r="H213" s="3" t="n">
        <v>11.07</v>
      </c>
      <c r="I213" s="3" t="n">
        <v>17.85</v>
      </c>
      <c r="J213" s="4">
        <f>IF(OR(D213="",G213=""),"",G213-D213)</f>
        <v/>
      </c>
      <c r="K213" s="4">
        <f>IF(OR(E213="",H213=""),"",H213-E213)</f>
        <v/>
      </c>
      <c r="L213" s="4">
        <f>IF(OR(F213="",I213=""),"",I213-F213)</f>
        <v/>
      </c>
      <c r="M213" s="3" t="n">
        <v>1.7</v>
      </c>
      <c r="N213" s="3" t="n">
        <v>4.91</v>
      </c>
      <c r="O213" s="3" t="n">
        <v>3.21</v>
      </c>
      <c r="P213" s="3" t="n">
        <v>19.92</v>
      </c>
      <c r="Q213" s="3" t="n">
        <v>148.5</v>
      </c>
      <c r="R213" s="3" t="n">
        <v>4.8</v>
      </c>
      <c r="S213" s="3">
        <f>IF(OR(Q213="",R213="",Q213=0),"",R213/Q213*100)</f>
        <v/>
      </c>
    </row>
    <row r="214" ht="16" customHeight="1">
      <c r="A214" s="2" t="inlineStr">
        <is>
          <t>3105</t>
        </is>
      </c>
      <c r="B214" s="2" t="inlineStr">
        <is>
          <t>穩懋</t>
        </is>
      </c>
      <c r="C214" s="2" t="inlineStr">
        <is>
          <t>半導體業</t>
        </is>
      </c>
      <c r="D214" s="3" t="n">
        <v>26.34</v>
      </c>
      <c r="E214" s="3" t="n">
        <v>9.390000000000001</v>
      </c>
      <c r="F214" s="3" t="n">
        <v>9.77</v>
      </c>
      <c r="G214" s="3" t="n">
        <v>28.23</v>
      </c>
      <c r="H214" s="3" t="n">
        <v>14.11</v>
      </c>
      <c r="I214" s="3" t="n">
        <v>17.2</v>
      </c>
      <c r="J214" s="4">
        <f>IF(OR(D214="",G214=""),"",G214-D214)</f>
        <v/>
      </c>
      <c r="K214" s="4">
        <f>IF(OR(E214="",H214=""),"",H214-E214)</f>
        <v/>
      </c>
      <c r="L214" s="4">
        <f>IF(OR(F214="",I214=""),"",I214-F214)</f>
        <v/>
      </c>
      <c r="M214" s="3" t="n">
        <v>1.26</v>
      </c>
      <c r="N214" s="3" t="n">
        <v>3.8</v>
      </c>
      <c r="O214" s="3" t="n">
        <v>2.54</v>
      </c>
      <c r="P214" s="3" t="n">
        <v>44.42</v>
      </c>
      <c r="Q214" s="3" t="n">
        <v>578</v>
      </c>
      <c r="R214" s="3" t="n">
        <v>2</v>
      </c>
      <c r="S214" s="3">
        <f>IF(OR(Q214="",R214="",Q214=0),"",R214/Q214*100)</f>
        <v/>
      </c>
    </row>
    <row r="215" ht="16" customHeight="1">
      <c r="A215" s="2" t="inlineStr">
        <is>
          <t>3131</t>
        </is>
      </c>
      <c r="B215" s="2" t="inlineStr">
        <is>
          <t>弘塑</t>
        </is>
      </c>
      <c r="C215" s="2" t="inlineStr">
        <is>
          <t>其他電子類</t>
        </is>
      </c>
      <c r="D215" s="3" t="n">
        <v>33.78</v>
      </c>
      <c r="E215" s="3" t="n">
        <v>13.15</v>
      </c>
      <c r="F215" s="3" t="n">
        <v>28.87</v>
      </c>
      <c r="G215" s="3" t="n">
        <v>38.86</v>
      </c>
      <c r="H215" s="3" t="n">
        <v>21.14</v>
      </c>
      <c r="I215" s="3" t="n">
        <v>18.71</v>
      </c>
      <c r="J215" s="4">
        <f>IF(OR(D215="",G215=""),"",G215-D215)</f>
        <v/>
      </c>
      <c r="K215" s="4">
        <f>IF(OR(E215="",H215=""),"",H215-E215)</f>
        <v/>
      </c>
      <c r="L215" s="4">
        <f>IF(OR(F215="",I215=""),"",I215-F215)</f>
        <v/>
      </c>
      <c r="M215" s="3" t="n">
        <v>16.11</v>
      </c>
      <c r="N215" s="3" t="n">
        <v>27.4</v>
      </c>
      <c r="O215" s="3" t="n">
        <v>11.29</v>
      </c>
      <c r="P215" s="3" t="n">
        <v>41.08</v>
      </c>
      <c r="Q215" s="3" t="n">
        <v>1880</v>
      </c>
      <c r="R215" s="3" t="n">
        <v>46.08</v>
      </c>
      <c r="S215" s="3">
        <f>IF(OR(Q215="",R215="",Q215=0),"",R215/Q215*100)</f>
        <v/>
      </c>
    </row>
    <row r="216" ht="16" customHeight="1">
      <c r="A216" s="2" t="inlineStr">
        <is>
          <t>3135</t>
        </is>
      </c>
      <c r="B216" s="2" t="inlineStr">
        <is>
          <t>凌航</t>
        </is>
      </c>
      <c r="C216" s="2" t="inlineStr">
        <is>
          <t>電子零組件</t>
        </is>
      </c>
      <c r="D216" s="3" t="n">
        <v>30.35</v>
      </c>
      <c r="E216" s="3" t="n">
        <v>27.43</v>
      </c>
      <c r="F216" s="3" t="n">
        <v>21.63</v>
      </c>
      <c r="G216" s="3" t="n">
        <v>18.03</v>
      </c>
      <c r="H216" s="3" t="n">
        <v>16.45</v>
      </c>
      <c r="I216" s="3" t="n">
        <v>13.22</v>
      </c>
      <c r="J216" s="4">
        <f>IF(OR(D216="",G216=""),"",G216-D216)</f>
        <v/>
      </c>
      <c r="K216" s="4">
        <f>IF(OR(E216="",H216=""),"",H216-E216)</f>
        <v/>
      </c>
      <c r="L216" s="4">
        <f>IF(OR(F216="",I216=""),"",I216-F216)</f>
        <v/>
      </c>
      <c r="M216" s="3" t="n">
        <v>10.76</v>
      </c>
      <c r="N216" s="3" t="n">
        <v>20.93</v>
      </c>
      <c r="O216" s="3" t="n">
        <v>10.17</v>
      </c>
      <c r="P216" s="3" t="n">
        <v>6.7</v>
      </c>
      <c r="Q216" s="3" t="n">
        <v>141</v>
      </c>
      <c r="R216" s="3" t="n">
        <v>3.2586</v>
      </c>
      <c r="S216" s="3">
        <f>IF(OR(Q216="",R216="",Q216=0),"",R216/Q216*100)</f>
        <v/>
      </c>
    </row>
    <row r="217" ht="16" customHeight="1">
      <c r="A217" s="2" t="inlineStr">
        <is>
          <t>3149</t>
        </is>
      </c>
      <c r="B217" s="2" t="inlineStr">
        <is>
          <t>正達</t>
        </is>
      </c>
      <c r="C217" s="2" t="inlineStr">
        <is>
          <t>光電</t>
        </is>
      </c>
      <c r="D217" s="3" t="n">
        <v>-4.14</v>
      </c>
      <c r="E217" s="3" t="n">
        <v>-15.79</v>
      </c>
      <c r="F217" s="3" t="n">
        <v>-14.33</v>
      </c>
      <c r="G217" s="3" t="n">
        <v>-3.23</v>
      </c>
      <c r="H217" s="3" t="n">
        <v>-19.28</v>
      </c>
      <c r="I217" s="3" t="n">
        <v>-19.42</v>
      </c>
      <c r="J217" s="4">
        <f>IF(OR(D217="",G217=""),"",G217-D217)</f>
        <v/>
      </c>
      <c r="K217" s="4">
        <f>IF(OR(E217="",H217=""),"",H217-E217)</f>
        <v/>
      </c>
      <c r="L217" s="4">
        <f>IF(OR(F217="",I217=""),"",I217-F217)</f>
        <v/>
      </c>
      <c r="M217" s="3" t="n">
        <v>-0.37</v>
      </c>
      <c r="N217" s="3" t="n">
        <v>-0.85</v>
      </c>
      <c r="O217" s="3" t="n">
        <v>-0.48</v>
      </c>
      <c r="P217" s="3" t="n"/>
      <c r="Q217" s="3" t="n">
        <v>66.8</v>
      </c>
      <c r="R217" s="3" t="n"/>
      <c r="S217" s="3">
        <f>IF(OR(Q217="",R217="",Q217=0),"",R217/Q217*100)</f>
        <v/>
      </c>
    </row>
    <row r="218" ht="16" customHeight="1">
      <c r="A218" s="2" t="inlineStr">
        <is>
          <t>3163</t>
        </is>
      </c>
      <c r="B218" s="2" t="inlineStr">
        <is>
          <t>波若威</t>
        </is>
      </c>
      <c r="C218" s="2" t="inlineStr">
        <is>
          <t>通信網路業</t>
        </is>
      </c>
      <c r="D218" s="3" t="n">
        <v>18.86</v>
      </c>
      <c r="E218" s="3" t="n">
        <v>5.32</v>
      </c>
      <c r="F218" s="3" t="n">
        <v>37.15</v>
      </c>
      <c r="G218" s="3" t="n">
        <v>15.2</v>
      </c>
      <c r="H218" s="3" t="n">
        <v>1.71</v>
      </c>
      <c r="I218" s="3" t="n">
        <v>14.84</v>
      </c>
      <c r="J218" s="4">
        <f>IF(OR(D218="",G218=""),"",G218-D218)</f>
        <v/>
      </c>
      <c r="K218" s="4">
        <f>IF(OR(E218="",H218=""),"",H218-E218)</f>
        <v/>
      </c>
      <c r="L218" s="4">
        <f>IF(OR(F218="",I218=""),"",I218-F218)</f>
        <v/>
      </c>
      <c r="M218" s="3" t="n">
        <v>3.03</v>
      </c>
      <c r="N218" s="3" t="n">
        <v>4.12</v>
      </c>
      <c r="O218" s="3" t="n">
        <v>1.09</v>
      </c>
      <c r="P218" s="3" t="n">
        <v>75.09999999999999</v>
      </c>
      <c r="Q218" s="3" t="n">
        <v>509</v>
      </c>
      <c r="R218" s="3" t="n">
        <v>1.75</v>
      </c>
      <c r="S218" s="3">
        <f>IF(OR(Q218="",R218="",Q218=0),"",R218/Q218*100)</f>
        <v/>
      </c>
    </row>
    <row r="219" ht="16" customHeight="1">
      <c r="A219" s="2" t="inlineStr">
        <is>
          <t>3167</t>
        </is>
      </c>
      <c r="B219" s="2" t="inlineStr">
        <is>
          <t>大量</t>
        </is>
      </c>
      <c r="C219" s="2" t="inlineStr">
        <is>
          <t>電機機械</t>
        </is>
      </c>
      <c r="D219" s="3" t="n">
        <v>42.34</v>
      </c>
      <c r="E219" s="3" t="n">
        <v>21.03</v>
      </c>
      <c r="F219" s="3" t="n">
        <v>14.49</v>
      </c>
      <c r="G219" s="3" t="n">
        <v>44.2</v>
      </c>
      <c r="H219" s="3" t="n">
        <v>26.83</v>
      </c>
      <c r="I219" s="3" t="n">
        <v>18.99</v>
      </c>
      <c r="J219" s="4">
        <f>IF(OR(D219="",G219=""),"",G219-D219)</f>
        <v/>
      </c>
      <c r="K219" s="4">
        <f>IF(OR(E219="",H219=""),"",H219-E219)</f>
        <v/>
      </c>
      <c r="L219" s="4">
        <f>IF(OR(F219="",I219=""),"",I219-F219)</f>
        <v/>
      </c>
      <c r="M219" s="3" t="n">
        <v>3.19</v>
      </c>
      <c r="N219" s="3" t="n">
        <v>9.33</v>
      </c>
      <c r="O219" s="3" t="n">
        <v>6.14</v>
      </c>
      <c r="P219" s="3" t="n">
        <v>47.34</v>
      </c>
      <c r="Q219" s="3" t="n">
        <v>942</v>
      </c>
      <c r="R219" s="3" t="n">
        <v>3.91</v>
      </c>
      <c r="S219" s="3">
        <f>IF(OR(Q219="",R219="",Q219=0),"",R219/Q219*100)</f>
        <v/>
      </c>
    </row>
    <row r="220" ht="16" customHeight="1">
      <c r="A220" s="2" t="inlineStr">
        <is>
          <t>3189</t>
        </is>
      </c>
      <c r="B220" s="2" t="inlineStr">
        <is>
          <t>景碩</t>
        </is>
      </c>
      <c r="C220" s="2" t="inlineStr">
        <is>
          <t>半導體業</t>
        </is>
      </c>
      <c r="D220" s="3" t="n">
        <v>21.16</v>
      </c>
      <c r="E220" s="3" t="n">
        <v>8.02</v>
      </c>
      <c r="F220" s="3" t="n">
        <v>7.89</v>
      </c>
      <c r="G220" s="3" t="n">
        <v>26.09</v>
      </c>
      <c r="H220" s="3" t="n">
        <v>13.44</v>
      </c>
      <c r="I220" s="3" t="n">
        <v>13.46</v>
      </c>
      <c r="J220" s="4">
        <f>IF(OR(D220="",G220=""),"",G220-D220)</f>
        <v/>
      </c>
      <c r="K220" s="4">
        <f>IF(OR(E220="",H220=""),"",H220-E220)</f>
        <v/>
      </c>
      <c r="L220" s="4">
        <f>IF(OR(F220="",I220=""),"",I220-F220)</f>
        <v/>
      </c>
      <c r="M220" s="3" t="n">
        <v>1.17</v>
      </c>
      <c r="N220" s="3" t="n">
        <v>3.42</v>
      </c>
      <c r="O220" s="3" t="n">
        <v>2.25</v>
      </c>
      <c r="P220" s="3" t="n">
        <v>159.93</v>
      </c>
      <c r="Q220" s="3" t="n">
        <v>932</v>
      </c>
      <c r="R220" s="3" t="n">
        <v>1.52</v>
      </c>
      <c r="S220" s="3">
        <f>IF(OR(Q220="",R220="",Q220=0),"",R220/Q220*100)</f>
        <v/>
      </c>
    </row>
    <row r="221" ht="16" customHeight="1">
      <c r="A221" s="2" t="inlineStr">
        <is>
          <t>3211</t>
        </is>
      </c>
      <c r="B221" s="2" t="inlineStr">
        <is>
          <t>順達</t>
        </is>
      </c>
      <c r="C221" s="2" t="inlineStr">
        <is>
          <t>電腦及週邊設備業</t>
        </is>
      </c>
      <c r="D221" s="3" t="n">
        <v>20.03</v>
      </c>
      <c r="E221" s="3" t="n">
        <v>12.53</v>
      </c>
      <c r="F221" s="3" t="n">
        <v>9.35</v>
      </c>
      <c r="G221" s="3" t="n">
        <v>13.84</v>
      </c>
      <c r="H221" s="3" t="n">
        <v>6.5</v>
      </c>
      <c r="I221" s="3" t="n">
        <v>5.94</v>
      </c>
      <c r="J221" s="4">
        <f>IF(OR(D221="",G221=""),"",G221-D221)</f>
        <v/>
      </c>
      <c r="K221" s="4">
        <f>IF(OR(E221="",H221=""),"",H221-E221)</f>
        <v/>
      </c>
      <c r="L221" s="4">
        <f>IF(OR(F221="",I221=""),"",I221-F221)</f>
        <v/>
      </c>
      <c r="M221" s="3" t="n">
        <v>2.05</v>
      </c>
      <c r="N221" s="3" t="n">
        <v>3.41</v>
      </c>
      <c r="O221" s="3" t="n">
        <v>1.36</v>
      </c>
      <c r="P221" s="3" t="n">
        <v>52.7</v>
      </c>
      <c r="Q221" s="3" t="n">
        <v>297.5</v>
      </c>
      <c r="R221" s="3" t="n">
        <v>11.47</v>
      </c>
      <c r="S221" s="3">
        <f>IF(OR(Q221="",R221="",Q221=0),"",R221/Q221*100)</f>
        <v/>
      </c>
    </row>
    <row r="222" ht="16" customHeight="1">
      <c r="A222" s="2" t="inlineStr">
        <is>
          <t>3217</t>
        </is>
      </c>
      <c r="B222" s="2" t="inlineStr">
        <is>
          <t>優群</t>
        </is>
      </c>
      <c r="C222" s="2" t="inlineStr">
        <is>
          <t>電子零組件業</t>
        </is>
      </c>
      <c r="D222" s="3" t="n">
        <v>48.93</v>
      </c>
      <c r="E222" s="3" t="n">
        <v>31.09</v>
      </c>
      <c r="F222" s="3" t="n">
        <v>26.81</v>
      </c>
      <c r="G222" s="3" t="n">
        <v>47.53</v>
      </c>
      <c r="H222" s="3" t="n">
        <v>28.11</v>
      </c>
      <c r="I222" s="3" t="n">
        <v>22.59</v>
      </c>
      <c r="J222" s="4">
        <f>IF(OR(D222="",G222=""),"",G222-D222)</f>
        <v/>
      </c>
      <c r="K222" s="4">
        <f>IF(OR(E222="",H222=""),"",H222-E222)</f>
        <v/>
      </c>
      <c r="L222" s="4">
        <f>IF(OR(F222="",I222=""),"",I222-F222)</f>
        <v/>
      </c>
      <c r="M222" s="3" t="n">
        <v>2.82</v>
      </c>
      <c r="N222" s="3" t="n">
        <v>5.19</v>
      </c>
      <c r="O222" s="3" t="n">
        <v>2.37</v>
      </c>
      <c r="P222" s="3" t="n">
        <v>10.97</v>
      </c>
      <c r="Q222" s="3" t="n">
        <v>120.5</v>
      </c>
      <c r="R222" s="3" t="n">
        <v>10</v>
      </c>
      <c r="S222" s="3">
        <f>IF(OR(Q222="",R222="",Q222=0),"",R222/Q222*100)</f>
        <v/>
      </c>
    </row>
    <row r="223" ht="16" customHeight="1">
      <c r="A223" s="2" t="inlineStr">
        <is>
          <t>3227</t>
        </is>
      </c>
      <c r="B223" s="2" t="inlineStr">
        <is>
          <t>原相</t>
        </is>
      </c>
      <c r="C223" s="2" t="inlineStr">
        <is>
          <t>半導體業</t>
        </is>
      </c>
      <c r="D223" s="3" t="n">
        <v>59.49</v>
      </c>
      <c r="E223" s="3" t="n">
        <v>17.29</v>
      </c>
      <c r="F223" s="3" t="n">
        <v>17.54</v>
      </c>
      <c r="G223" s="3" t="n">
        <v>58.21</v>
      </c>
      <c r="H223" s="3" t="n">
        <v>18.96</v>
      </c>
      <c r="I223" s="3" t="n">
        <v>19.94</v>
      </c>
      <c r="J223" s="4">
        <f>IF(OR(D223="",G223=""),"",G223-D223)</f>
        <v/>
      </c>
      <c r="K223" s="4">
        <f>IF(OR(E223="",H223=""),"",H223-E223)</f>
        <v/>
      </c>
      <c r="L223" s="4">
        <f>IF(OR(F223="",I223=""),"",I223-F223)</f>
        <v/>
      </c>
      <c r="M223" s="3" t="n">
        <v>2.65</v>
      </c>
      <c r="N223" s="3" t="n">
        <v>6.11</v>
      </c>
      <c r="O223" s="3" t="n">
        <v>3.46</v>
      </c>
      <c r="P223" s="3" t="n">
        <v>15.77</v>
      </c>
      <c r="Q223" s="3" t="n">
        <v>180.5</v>
      </c>
      <c r="R223" s="3" t="n">
        <v>10.007</v>
      </c>
      <c r="S223" s="3">
        <f>IF(OR(Q223="",R223="",Q223=0),"",R223/Q223*100)</f>
        <v/>
      </c>
    </row>
    <row r="224" ht="16" customHeight="1">
      <c r="A224" s="2" t="inlineStr">
        <is>
          <t>3231</t>
        </is>
      </c>
      <c r="B224" s="2" t="inlineStr">
        <is>
          <t>緯創</t>
        </is>
      </c>
      <c r="C224" s="2" t="inlineStr">
        <is>
          <t>電子工業</t>
        </is>
      </c>
      <c r="D224" s="3" t="n">
        <v>5.21</v>
      </c>
      <c r="E224" s="3" t="n">
        <v>3.44</v>
      </c>
      <c r="F224" s="3" t="n">
        <v>2.13</v>
      </c>
      <c r="G224" s="3" t="n">
        <v>5.66</v>
      </c>
      <c r="H224" s="3" t="n">
        <v>3.73</v>
      </c>
      <c r="I224" s="3" t="n">
        <v>2.66</v>
      </c>
      <c r="J224" s="4">
        <f>IF(OR(D224="",G224=""),"",G224-D224)</f>
        <v/>
      </c>
      <c r="K224" s="4">
        <f>IF(OR(E224="",H224=""),"",H224-E224)</f>
        <v/>
      </c>
      <c r="L224" s="4">
        <f>IF(OR(F224="",I224=""),"",I224-F224)</f>
        <v/>
      </c>
      <c r="M224" s="3" t="n">
        <v>3.06</v>
      </c>
      <c r="N224" s="3" t="n">
        <v>7.1</v>
      </c>
      <c r="O224" s="3" t="n">
        <v>4.04</v>
      </c>
      <c r="P224" s="3" t="n">
        <v>15.37</v>
      </c>
      <c r="Q224" s="3" t="n">
        <v>183.5</v>
      </c>
      <c r="R224" s="3" t="n">
        <v>5.5</v>
      </c>
      <c r="S224" s="3">
        <f>IF(OR(Q224="",R224="",Q224=0),"",R224/Q224*100)</f>
        <v/>
      </c>
    </row>
    <row r="225" ht="16" customHeight="1">
      <c r="A225" s="2" t="inlineStr">
        <is>
          <t>3234</t>
        </is>
      </c>
      <c r="B225" s="2" t="inlineStr">
        <is>
          <t>光環</t>
        </is>
      </c>
      <c r="C225" s="2" t="inlineStr">
        <is>
          <t>通信網路業</t>
        </is>
      </c>
      <c r="D225" s="3" t="n">
        <v>9.789999999999999</v>
      </c>
      <c r="E225" s="3" t="n">
        <v>-21.81</v>
      </c>
      <c r="F225" s="3" t="n">
        <v>-19.91</v>
      </c>
      <c r="G225" s="3" t="n">
        <v>19.89</v>
      </c>
      <c r="H225" s="3" t="n">
        <v>-8.699999999999999</v>
      </c>
      <c r="I225" s="3" t="n">
        <v>-9.039999999999999</v>
      </c>
      <c r="J225" s="4">
        <f>IF(OR(D225="",G225=""),"",G225-D225)</f>
        <v/>
      </c>
      <c r="K225" s="4">
        <f>IF(OR(E225="",H225=""),"",H225-E225)</f>
        <v/>
      </c>
      <c r="L225" s="4">
        <f>IF(OR(F225="",I225=""),"",I225-F225)</f>
        <v/>
      </c>
      <c r="M225" s="3" t="n">
        <v>-0.32</v>
      </c>
      <c r="N225" s="3" t="n">
        <v>-0.48</v>
      </c>
      <c r="O225" s="3" t="n">
        <v>-0.16</v>
      </c>
      <c r="P225" s="3" t="n"/>
      <c r="Q225" s="3" t="n">
        <v>151.5</v>
      </c>
      <c r="R225" s="3" t="n">
        <v>0</v>
      </c>
      <c r="S225" s="3">
        <f>IF(OR(Q225="",R225="",Q225=0),"",R225/Q225*100)</f>
        <v/>
      </c>
    </row>
    <row r="226" ht="16" customHeight="1">
      <c r="A226" s="2" t="inlineStr">
        <is>
          <t>3260</t>
        </is>
      </c>
      <c r="B226" s="2" t="inlineStr">
        <is>
          <t>威剛</t>
        </is>
      </c>
      <c r="C226" s="2" t="inlineStr">
        <is>
          <t>半導體業</t>
        </is>
      </c>
      <c r="D226" s="3" t="n">
        <v>55.7</v>
      </c>
      <c r="E226" s="3" t="n">
        <v>47.05</v>
      </c>
      <c r="F226" s="3" t="n">
        <v>38.22</v>
      </c>
      <c r="G226" s="3" t="n">
        <v>42.11</v>
      </c>
      <c r="H226" s="3" t="n">
        <v>33.46</v>
      </c>
      <c r="I226" s="3" t="n">
        <v>28.23</v>
      </c>
      <c r="J226" s="4">
        <f>IF(OR(D226="",G226=""),"",G226-D226)</f>
        <v/>
      </c>
      <c r="K226" s="4">
        <f>IF(OR(E226="",H226=""),"",H226-E226)</f>
        <v/>
      </c>
      <c r="L226" s="4">
        <f>IF(OR(F226="",I226=""),"",I226-F226)</f>
        <v/>
      </c>
      <c r="M226" s="3" t="n">
        <v>30.05</v>
      </c>
      <c r="N226" s="3" t="n">
        <v>62.49</v>
      </c>
      <c r="O226" s="3" t="n">
        <v>32.44</v>
      </c>
      <c r="P226" s="3" t="n">
        <v>5.2</v>
      </c>
      <c r="Q226" s="3" t="n">
        <v>346.5</v>
      </c>
      <c r="R226" s="3" t="n">
        <v>17</v>
      </c>
      <c r="S226" s="3">
        <f>IF(OR(Q226="",R226="",Q226=0),"",R226/Q226*100)</f>
        <v/>
      </c>
    </row>
    <row r="227" ht="16" customHeight="1">
      <c r="A227" s="2" t="inlineStr">
        <is>
          <t>3264</t>
        </is>
      </c>
      <c r="B227" s="2" t="inlineStr">
        <is>
          <t>欣銓</t>
        </is>
      </c>
      <c r="C227" s="2" t="inlineStr">
        <is>
          <t>半導體業</t>
        </is>
      </c>
      <c r="D227" s="3" t="n">
        <v>38.36</v>
      </c>
      <c r="E227" s="3" t="n">
        <v>27.53</v>
      </c>
      <c r="F227" s="3" t="n">
        <v>23.2</v>
      </c>
      <c r="G227" s="3" t="n">
        <v>40.17</v>
      </c>
      <c r="H227" s="3" t="n">
        <v>30.39</v>
      </c>
      <c r="I227" s="3" t="n">
        <v>25.49</v>
      </c>
      <c r="J227" s="4">
        <f>IF(OR(D227="",G227=""),"",G227-D227)</f>
        <v/>
      </c>
      <c r="K227" s="4">
        <f>IF(OR(E227="",H227=""),"",H227-E227)</f>
        <v/>
      </c>
      <c r="L227" s="4">
        <f>IF(OR(F227="",I227=""),"",I227-F227)</f>
        <v/>
      </c>
      <c r="M227" s="3" t="n">
        <v>1.95</v>
      </c>
      <c r="N227" s="3" t="n">
        <v>4.39</v>
      </c>
      <c r="O227" s="3" t="n">
        <v>2.44</v>
      </c>
      <c r="P227" s="3" t="n">
        <v>29.44</v>
      </c>
      <c r="Q227" s="3" t="n">
        <v>220.5</v>
      </c>
      <c r="R227" s="3" t="n">
        <v>4.2</v>
      </c>
      <c r="S227" s="3">
        <f>IF(OR(Q227="",R227="",Q227=0),"",R227/Q227*100)</f>
        <v/>
      </c>
    </row>
    <row r="228" ht="16" customHeight="1">
      <c r="A228" s="2" t="inlineStr">
        <is>
          <t>3265</t>
        </is>
      </c>
      <c r="B228" s="2" t="inlineStr">
        <is>
          <t>台星科</t>
        </is>
      </c>
      <c r="C228" s="2" t="inlineStr">
        <is>
          <t>半導體業</t>
        </is>
      </c>
      <c r="D228" s="3" t="n">
        <v>25.55</v>
      </c>
      <c r="E228" s="3" t="n">
        <v>19.64</v>
      </c>
      <c r="F228" s="3" t="n">
        <v>18.33</v>
      </c>
      <c r="G228" s="3" t="n">
        <v>29.37</v>
      </c>
      <c r="H228" s="3" t="n">
        <v>24</v>
      </c>
      <c r="I228" s="3" t="n">
        <v>20.26</v>
      </c>
      <c r="J228" s="4">
        <f>IF(OR(D228="",G228=""),"",G228-D228)</f>
        <v/>
      </c>
      <c r="K228" s="4">
        <f>IF(OR(E228="",H228=""),"",H228-E228)</f>
        <v/>
      </c>
      <c r="L228" s="4">
        <f>IF(OR(F228="",I228=""),"",I228-F228)</f>
        <v/>
      </c>
      <c r="M228" s="3" t="n">
        <v>1.76</v>
      </c>
      <c r="N228" s="3" t="n">
        <v>3.85</v>
      </c>
      <c r="O228" s="3" t="n">
        <v>2.09</v>
      </c>
      <c r="P228" s="3" t="n">
        <v>24.26</v>
      </c>
      <c r="Q228" s="3" t="n">
        <v>195.5</v>
      </c>
      <c r="R228" s="3" t="n">
        <v>4.1</v>
      </c>
      <c r="S228" s="3">
        <f>IF(OR(Q228="",R228="",Q228=0),"",R228/Q228*100)</f>
        <v/>
      </c>
    </row>
    <row r="229" ht="16" customHeight="1">
      <c r="A229" s="2" t="inlineStr">
        <is>
          <t>3289</t>
        </is>
      </c>
      <c r="B229" s="2" t="inlineStr">
        <is>
          <t>宜特</t>
        </is>
      </c>
      <c r="C229" s="2" t="inlineStr">
        <is>
          <t>其他電子類</t>
        </is>
      </c>
      <c r="D229" s="3" t="n">
        <v>17.27</v>
      </c>
      <c r="E229" s="3" t="n">
        <v>-6.84</v>
      </c>
      <c r="F229" s="3" t="n">
        <v>15.71</v>
      </c>
      <c r="G229" s="3" t="n">
        <v>26.14</v>
      </c>
      <c r="H229" s="3" t="n">
        <v>6.01</v>
      </c>
      <c r="I229" s="3" t="n">
        <v>7.55</v>
      </c>
      <c r="J229" s="4">
        <f>IF(OR(D229="",G229=""),"",G229-D229)</f>
        <v/>
      </c>
      <c r="K229" s="4">
        <f>IF(OR(E229="",H229=""),"",H229-E229)</f>
        <v/>
      </c>
      <c r="L229" s="4">
        <f>IF(OR(F229="",I229=""),"",I229-F229)</f>
        <v/>
      </c>
      <c r="M229" s="3" t="n">
        <v>2.05</v>
      </c>
      <c r="N229" s="3" t="n">
        <v>3.13</v>
      </c>
      <c r="O229" s="3" t="n">
        <v>1.08</v>
      </c>
      <c r="P229" s="3" t="n">
        <v>30.04</v>
      </c>
      <c r="Q229" s="3" t="n">
        <v>133</v>
      </c>
      <c r="R229" s="3" t="n">
        <v>3.43</v>
      </c>
      <c r="S229" s="3">
        <f>IF(OR(Q229="",R229="",Q229=0),"",R229/Q229*100)</f>
        <v/>
      </c>
    </row>
    <row r="230" ht="16" customHeight="1">
      <c r="A230" s="2" t="inlineStr">
        <is>
          <t>3293</t>
        </is>
      </c>
      <c r="B230" s="2" t="inlineStr">
        <is>
          <t>鈊象</t>
        </is>
      </c>
      <c r="C230" s="2" t="inlineStr">
        <is>
          <t>文化創意業</t>
        </is>
      </c>
      <c r="D230" s="3" t="n">
        <v>97.81999999999999</v>
      </c>
      <c r="E230" s="3" t="n">
        <v>58.29</v>
      </c>
      <c r="F230" s="3" t="n">
        <v>50.31</v>
      </c>
      <c r="G230" s="3" t="n">
        <v>97.81999999999999</v>
      </c>
      <c r="H230" s="3" t="n">
        <v>59.79</v>
      </c>
      <c r="I230" s="3" t="n">
        <v>50.92</v>
      </c>
      <c r="J230" s="4">
        <f>IF(OR(D230="",G230=""),"",G230-D230)</f>
        <v/>
      </c>
      <c r="K230" s="4">
        <f>IF(OR(E230="",H230=""),"",H230-E230)</f>
        <v/>
      </c>
      <c r="L230" s="4">
        <f>IF(OR(F230="",I230=""),"",I230-F230)</f>
        <v/>
      </c>
      <c r="M230" s="3" t="n">
        <v>11.18</v>
      </c>
      <c r="N230" s="3" t="n">
        <v>22.76</v>
      </c>
      <c r="O230" s="3" t="n">
        <v>11.58</v>
      </c>
      <c r="P230" s="3" t="n">
        <v>17.33</v>
      </c>
      <c r="Q230" s="3" t="n">
        <v>810</v>
      </c>
      <c r="R230" s="3" t="n">
        <v>36</v>
      </c>
      <c r="S230" s="3">
        <f>IF(OR(Q230="",R230="",Q230=0),"",R230/Q230*100)</f>
        <v/>
      </c>
    </row>
    <row r="231" ht="16" customHeight="1">
      <c r="A231" s="2" t="inlineStr">
        <is>
          <t>3305</t>
        </is>
      </c>
      <c r="B231" s="2" t="inlineStr">
        <is>
          <t>昇貿</t>
        </is>
      </c>
      <c r="C231" s="2" t="inlineStr">
        <is>
          <t>其他電子</t>
        </is>
      </c>
      <c r="D231" s="3" t="n">
        <v>18.27</v>
      </c>
      <c r="E231" s="3" t="n">
        <v>11.36</v>
      </c>
      <c r="F231" s="3" t="n">
        <v>6.41</v>
      </c>
      <c r="G231" s="3" t="n">
        <v>18.8</v>
      </c>
      <c r="H231" s="3" t="n">
        <v>11.61</v>
      </c>
      <c r="I231" s="3" t="n">
        <v>7.09</v>
      </c>
      <c r="J231" s="4">
        <f>IF(OR(D231="",G231=""),"",G231-D231)</f>
        <v/>
      </c>
      <c r="K231" s="4">
        <f>IF(OR(E231="",H231=""),"",H231-E231)</f>
        <v/>
      </c>
      <c r="L231" s="4">
        <f>IF(OR(F231="",I231=""),"",I231-F231)</f>
        <v/>
      </c>
      <c r="M231" s="3" t="n">
        <v>1.73</v>
      </c>
      <c r="N231" s="3" t="n">
        <v>3.85</v>
      </c>
      <c r="O231" s="3" t="n">
        <v>2.12</v>
      </c>
      <c r="P231" s="3" t="n">
        <v>19.18</v>
      </c>
      <c r="Q231" s="3" t="n">
        <v>104</v>
      </c>
      <c r="R231" s="3" t="n">
        <v>2.2833</v>
      </c>
      <c r="S231" s="3">
        <f>IF(OR(Q231="",R231="",Q231=0),"",R231/Q231*100)</f>
        <v/>
      </c>
    </row>
    <row r="232" ht="16" customHeight="1">
      <c r="A232" s="2" t="inlineStr">
        <is>
          <t>3324</t>
        </is>
      </c>
      <c r="B232" s="2" t="inlineStr">
        <is>
          <t>雙鴻</t>
        </is>
      </c>
      <c r="C232" s="2" t="inlineStr">
        <is>
          <t>其他電子類</t>
        </is>
      </c>
      <c r="D232" s="3" t="n">
        <v>29.66</v>
      </c>
      <c r="E232" s="3" t="n">
        <v>17.77</v>
      </c>
      <c r="F232" s="3" t="n">
        <v>14.8</v>
      </c>
      <c r="G232" s="3" t="n">
        <v>28.41</v>
      </c>
      <c r="H232" s="3" t="n">
        <v>15.99</v>
      </c>
      <c r="I232" s="3" t="n">
        <v>11.95</v>
      </c>
      <c r="J232" s="4">
        <f>IF(OR(D232="",G232=""),"",G232-D232)</f>
        <v/>
      </c>
      <c r="K232" s="4">
        <f>IF(OR(E232="",H232=""),"",H232-E232)</f>
        <v/>
      </c>
      <c r="L232" s="4">
        <f>IF(OR(F232="",I232=""),"",I232-F232)</f>
        <v/>
      </c>
      <c r="M232" s="3" t="n">
        <v>12.61</v>
      </c>
      <c r="N232" s="3" t="n">
        <v>22.97</v>
      </c>
      <c r="O232" s="3" t="n">
        <v>10.36</v>
      </c>
      <c r="P232" s="3" t="n">
        <v>23.29</v>
      </c>
      <c r="Q232" s="3" t="n">
        <v>1330</v>
      </c>
      <c r="R232" s="3" t="n">
        <v>11.9</v>
      </c>
      <c r="S232" s="3">
        <f>IF(OR(Q232="",R232="",Q232=0),"",R232/Q232*100)</f>
        <v/>
      </c>
    </row>
    <row r="233" ht="16" customHeight="1">
      <c r="A233" s="2" t="inlineStr">
        <is>
          <t>3357</t>
        </is>
      </c>
      <c r="B233" s="2" t="inlineStr">
        <is>
          <t>臺慶科</t>
        </is>
      </c>
      <c r="C233" s="2" t="inlineStr">
        <is>
          <t>電子零組件業</t>
        </is>
      </c>
      <c r="D233" s="3" t="n">
        <v>28.86</v>
      </c>
      <c r="E233" s="3" t="n">
        <v>14.92</v>
      </c>
      <c r="F233" s="3" t="n">
        <v>16.2</v>
      </c>
      <c r="G233" s="3" t="n">
        <v>30.73</v>
      </c>
      <c r="H233" s="3" t="n">
        <v>17.24</v>
      </c>
      <c r="I233" s="3" t="n">
        <v>20.08</v>
      </c>
      <c r="J233" s="4">
        <f>IF(OR(D233="",G233=""),"",G233-D233)</f>
        <v/>
      </c>
      <c r="K233" s="4">
        <f>IF(OR(E233="",H233=""),"",H233-E233)</f>
        <v/>
      </c>
      <c r="L233" s="4">
        <f>IF(OR(F233="",I233=""),"",I233-F233)</f>
        <v/>
      </c>
      <c r="M233" s="3" t="n">
        <v>2.51</v>
      </c>
      <c r="N233" s="3" t="n">
        <v>6.41</v>
      </c>
      <c r="O233" s="3" t="n">
        <v>3.9</v>
      </c>
      <c r="P233" s="3" t="n">
        <v>21.44</v>
      </c>
      <c r="Q233" s="3" t="n">
        <v>191</v>
      </c>
      <c r="R233" s="3" t="n">
        <v>5.08</v>
      </c>
      <c r="S233" s="3">
        <f>IF(OR(Q233="",R233="",Q233=0),"",R233/Q233*100)</f>
        <v/>
      </c>
    </row>
    <row r="234" ht="16" customHeight="1">
      <c r="A234" s="2" t="inlineStr">
        <is>
          <t>3362</t>
        </is>
      </c>
      <c r="B234" s="2" t="inlineStr">
        <is>
          <t>先進光</t>
        </is>
      </c>
      <c r="C234" s="2" t="inlineStr">
        <is>
          <t>光電業</t>
        </is>
      </c>
      <c r="D234" s="3" t="n">
        <v>13.11</v>
      </c>
      <c r="E234" s="3" t="n">
        <v>-8.08</v>
      </c>
      <c r="F234" s="3" t="n">
        <v>-6.44</v>
      </c>
      <c r="G234" s="3" t="n">
        <v>8.32</v>
      </c>
      <c r="H234" s="3" t="n">
        <v>-23.52</v>
      </c>
      <c r="I234" s="3" t="n">
        <v>-20.84</v>
      </c>
      <c r="J234" s="4">
        <f>IF(OR(D234="",G234=""),"",G234-D234)</f>
        <v/>
      </c>
      <c r="K234" s="4">
        <f>IF(OR(E234="",H234=""),"",H234-E234)</f>
        <v/>
      </c>
      <c r="L234" s="4">
        <f>IF(OR(F234="",I234=""),"",I234-F234)</f>
        <v/>
      </c>
      <c r="M234" s="3" t="n">
        <v>-0.5</v>
      </c>
      <c r="N234" s="3" t="n">
        <v>-1.89</v>
      </c>
      <c r="O234" s="3" t="n">
        <v>-1.39</v>
      </c>
      <c r="P234" s="3" t="n"/>
      <c r="Q234" s="3" t="n">
        <v>147.5</v>
      </c>
      <c r="R234" s="3" t="n">
        <v>0</v>
      </c>
      <c r="S234" s="3">
        <f>IF(OR(Q234="",R234="",Q234=0),"",R234/Q234*100)</f>
        <v/>
      </c>
    </row>
    <row r="235" ht="16" customHeight="1">
      <c r="A235" s="2" t="inlineStr">
        <is>
          <t>3363</t>
        </is>
      </c>
      <c r="B235" s="2" t="inlineStr">
        <is>
          <t>上詮</t>
        </is>
      </c>
      <c r="C235" s="2" t="inlineStr">
        <is>
          <t>通信網路業</t>
        </is>
      </c>
      <c r="D235" s="3" t="n">
        <v>1.88</v>
      </c>
      <c r="E235" s="3" t="n">
        <v>-40.86</v>
      </c>
      <c r="F235" s="3" t="n">
        <v>-28.02</v>
      </c>
      <c r="G235" s="3" t="n">
        <v>0.23</v>
      </c>
      <c r="H235" s="3" t="n">
        <v>-21.43</v>
      </c>
      <c r="I235" s="3" t="n">
        <v>-5.79</v>
      </c>
      <c r="J235" s="4">
        <f>IF(OR(D235="",G235=""),"",G235-D235)</f>
        <v/>
      </c>
      <c r="K235" s="4">
        <f>IF(OR(E235="",H235=""),"",H235-E235)</f>
        <v/>
      </c>
      <c r="L235" s="4">
        <f>IF(OR(F235="",I235=""),"",I235-F235)</f>
        <v/>
      </c>
      <c r="M235" s="3" t="n">
        <v>-0.98</v>
      </c>
      <c r="N235" s="3" t="n">
        <v>-1.21</v>
      </c>
      <c r="O235" s="3" t="n">
        <v>-0.23</v>
      </c>
      <c r="P235" s="3" t="n"/>
      <c r="Q235" s="3" t="n">
        <v>474.5</v>
      </c>
      <c r="R235" s="3" t="n">
        <v>0</v>
      </c>
      <c r="S235" s="3">
        <f>IF(OR(Q235="",R235="",Q235=0),"",R235/Q235*100)</f>
        <v/>
      </c>
    </row>
    <row r="236" ht="16" customHeight="1">
      <c r="A236" s="2" t="inlineStr">
        <is>
          <t>3374</t>
        </is>
      </c>
      <c r="B236" s="2" t="inlineStr">
        <is>
          <t>精材</t>
        </is>
      </c>
      <c r="C236" s="2" t="inlineStr">
        <is>
          <t>半導體業</t>
        </is>
      </c>
      <c r="D236" s="3" t="n">
        <v>29.66</v>
      </c>
      <c r="E236" s="3" t="n">
        <v>23.62</v>
      </c>
      <c r="F236" s="3" t="n">
        <v>20.09</v>
      </c>
      <c r="G236" s="3" t="n">
        <v>27.66</v>
      </c>
      <c r="H236" s="3" t="n">
        <v>22.27</v>
      </c>
      <c r="I236" s="3" t="n">
        <v>18.14</v>
      </c>
      <c r="J236" s="4">
        <f>IF(OR(D236="",G236=""),"",G236-D236)</f>
        <v/>
      </c>
      <c r="K236" s="4">
        <f>IF(OR(E236="",H236=""),"",H236-E236)</f>
        <v/>
      </c>
      <c r="L236" s="4">
        <f>IF(OR(F236="",I236=""),"",I236-F236)</f>
        <v/>
      </c>
      <c r="M236" s="3" t="n">
        <v>1.42</v>
      </c>
      <c r="N236" s="3" t="n">
        <v>2.88</v>
      </c>
      <c r="O236" s="3" t="n">
        <v>1.46</v>
      </c>
      <c r="P236" s="3" t="n">
        <v>51.02</v>
      </c>
      <c r="Q236" s="3" t="n">
        <v>488</v>
      </c>
      <c r="R236" s="3" t="n">
        <v>2.5</v>
      </c>
      <c r="S236" s="3">
        <f>IF(OR(Q236="",R236="",Q236=0),"",R236/Q236*100)</f>
        <v/>
      </c>
    </row>
    <row r="237" ht="16" customHeight="1">
      <c r="A237" s="2" t="inlineStr">
        <is>
          <t>3376</t>
        </is>
      </c>
      <c r="B237" s="2" t="inlineStr">
        <is>
          <t>新日興</t>
        </is>
      </c>
      <c r="C237" s="2" t="inlineStr">
        <is>
          <t>電子工業</t>
        </is>
      </c>
      <c r="D237" s="3" t="n">
        <v>14.28</v>
      </c>
      <c r="E237" s="3" t="n">
        <v>-0.44</v>
      </c>
      <c r="F237" s="3" t="n">
        <v>1.26</v>
      </c>
      <c r="G237" s="3" t="n">
        <v>9.789999999999999</v>
      </c>
      <c r="H237" s="3" t="n">
        <v>-3.1</v>
      </c>
      <c r="I237" s="3" t="n">
        <v>2.36</v>
      </c>
      <c r="J237" s="4">
        <f>IF(OR(D237="",G237=""),"",G237-D237)</f>
        <v/>
      </c>
      <c r="K237" s="4">
        <f>IF(OR(E237="",H237=""),"",H237-E237)</f>
        <v/>
      </c>
      <c r="L237" s="4">
        <f>IF(OR(F237="",I237=""),"",I237-F237)</f>
        <v/>
      </c>
      <c r="M237" s="3" t="n">
        <v>0.15</v>
      </c>
      <c r="N237" s="3" t="n">
        <v>0.47</v>
      </c>
      <c r="O237" s="3" t="n">
        <v>0.32</v>
      </c>
      <c r="P237" s="3" t="n">
        <v>126.21</v>
      </c>
      <c r="Q237" s="3" t="n">
        <v>139.5</v>
      </c>
      <c r="R237" s="3" t="n">
        <v>2</v>
      </c>
      <c r="S237" s="3">
        <f>IF(OR(Q237="",R237="",Q237=0),"",R237/Q237*100)</f>
        <v/>
      </c>
    </row>
    <row r="238" ht="16" customHeight="1">
      <c r="A238" s="2" t="inlineStr">
        <is>
          <t>3380</t>
        </is>
      </c>
      <c r="B238" s="2" t="inlineStr">
        <is>
          <t>明泰</t>
        </is>
      </c>
      <c r="C238" s="2" t="inlineStr">
        <is>
          <t>通訊網路</t>
        </is>
      </c>
      <c r="D238" s="3" t="n">
        <v>18.36</v>
      </c>
      <c r="E238" s="3" t="n">
        <v>0.08</v>
      </c>
      <c r="F238" s="3" t="n">
        <v>0.51</v>
      </c>
      <c r="G238" s="3" t="n">
        <v>17.73</v>
      </c>
      <c r="H238" s="3" t="n">
        <v>-1.27</v>
      </c>
      <c r="I238" s="3" t="n">
        <v>0.05</v>
      </c>
      <c r="J238" s="4">
        <f>IF(OR(D238="",G238=""),"",G238-D238)</f>
        <v/>
      </c>
      <c r="K238" s="4">
        <f>IF(OR(E238="",H238=""),"",H238-E238)</f>
        <v/>
      </c>
      <c r="L238" s="4">
        <f>IF(OR(F238="",I238=""),"",I238-F238)</f>
        <v/>
      </c>
      <c r="M238" s="3" t="n">
        <v>0.1</v>
      </c>
      <c r="N238" s="3" t="n">
        <v>0.11</v>
      </c>
      <c r="O238" s="3" t="n">
        <v>0.01</v>
      </c>
      <c r="P238" s="3" t="n">
        <v>188.94</v>
      </c>
      <c r="Q238" s="3" t="n">
        <v>30.7</v>
      </c>
      <c r="R238" s="3" t="n"/>
      <c r="S238" s="3">
        <f>IF(OR(Q238="",R238="",Q238=0),"",R238/Q238*100)</f>
        <v/>
      </c>
    </row>
    <row r="239" ht="16" customHeight="1">
      <c r="A239" s="2" t="inlineStr">
        <is>
          <t>3406</t>
        </is>
      </c>
      <c r="B239" s="2" t="inlineStr">
        <is>
          <t>玉晶光</t>
        </is>
      </c>
      <c r="C239" s="2" t="inlineStr">
        <is>
          <t>光電業</t>
        </is>
      </c>
      <c r="D239" s="3" t="n">
        <v>33.56</v>
      </c>
      <c r="E239" s="3" t="n">
        <v>19.55</v>
      </c>
      <c r="F239" s="3" t="n">
        <v>14.52</v>
      </c>
      <c r="G239" s="3" t="n">
        <v>33.16</v>
      </c>
      <c r="H239" s="3" t="n">
        <v>16.89</v>
      </c>
      <c r="I239" s="3" t="n">
        <v>12.21</v>
      </c>
      <c r="J239" s="4">
        <f>IF(OR(D239="",G239=""),"",G239-D239)</f>
        <v/>
      </c>
      <c r="K239" s="4">
        <f>IF(OR(E239="",H239=""),"",H239-E239)</f>
        <v/>
      </c>
      <c r="L239" s="4">
        <f>IF(OR(F239="",I239=""),"",I239-F239)</f>
        <v/>
      </c>
      <c r="M239" s="3" t="n">
        <v>7.9</v>
      </c>
      <c r="N239" s="3" t="n">
        <v>14.05</v>
      </c>
      <c r="O239" s="3" t="n">
        <v>6.15</v>
      </c>
      <c r="P239" s="3" t="n"/>
      <c r="Q239" s="3" t="n">
        <v>1085</v>
      </c>
      <c r="R239" s="3" t="n">
        <v>17</v>
      </c>
      <c r="S239" s="3">
        <f>IF(OR(Q239="",R239="",Q239=0),"",R239/Q239*100)</f>
        <v/>
      </c>
    </row>
    <row r="240" ht="16" customHeight="1">
      <c r="A240" s="2" t="inlineStr">
        <is>
          <t>3413</t>
        </is>
      </c>
      <c r="B240" s="2" t="inlineStr">
        <is>
          <t>京鼎</t>
        </is>
      </c>
      <c r="C240" s="2" t="inlineStr">
        <is>
          <t>半導體業</t>
        </is>
      </c>
      <c r="D240" s="3" t="n">
        <v>23.84</v>
      </c>
      <c r="E240" s="3" t="n">
        <v>13.07</v>
      </c>
      <c r="F240" s="3" t="n">
        <v>9.33</v>
      </c>
      <c r="G240" s="3" t="n">
        <v>22.28</v>
      </c>
      <c r="H240" s="3" t="n">
        <v>12.21</v>
      </c>
      <c r="I240" s="3" t="n">
        <v>8.800000000000001</v>
      </c>
      <c r="J240" s="4">
        <f>IF(OR(D240="",G240=""),"",G240-D240)</f>
        <v/>
      </c>
      <c r="K240" s="4">
        <f>IF(OR(E240="",H240=""),"",H240-E240)</f>
        <v/>
      </c>
      <c r="L240" s="4">
        <f>IF(OR(F240="",I240=""),"",I240-F240)</f>
        <v/>
      </c>
      <c r="M240" s="3" t="n">
        <v>4.28</v>
      </c>
      <c r="N240" s="3" t="n">
        <v>8.890000000000001</v>
      </c>
      <c r="O240" s="3" t="n">
        <v>4.61</v>
      </c>
      <c r="P240" s="3" t="n">
        <v>14.17</v>
      </c>
      <c r="Q240" s="3" t="n">
        <v>265</v>
      </c>
      <c r="R240" s="3" t="n">
        <v>10.98</v>
      </c>
      <c r="S240" s="3">
        <f>IF(OR(Q240="",R240="",Q240=0),"",R240/Q240*100)</f>
        <v/>
      </c>
    </row>
    <row r="241" ht="16" customHeight="1">
      <c r="A241" s="2" t="inlineStr">
        <is>
          <t>3416</t>
        </is>
      </c>
      <c r="B241" s="2" t="inlineStr">
        <is>
          <t>融程電</t>
        </is>
      </c>
      <c r="C241" s="2" t="inlineStr">
        <is>
          <t>電腦週邊</t>
        </is>
      </c>
      <c r="D241" s="3" t="n">
        <v>36.52</v>
      </c>
      <c r="E241" s="3" t="n">
        <v>15.09</v>
      </c>
      <c r="F241" s="3" t="n">
        <v>15.37</v>
      </c>
      <c r="G241" s="3" t="n">
        <v>40.18</v>
      </c>
      <c r="H241" s="3" t="n">
        <v>19.63</v>
      </c>
      <c r="I241" s="3" t="n">
        <v>16.89</v>
      </c>
      <c r="J241" s="4">
        <f>IF(OR(D241="",G241=""),"",G241-D241)</f>
        <v/>
      </c>
      <c r="K241" s="4">
        <f>IF(OR(E241="",H241=""),"",H241-E241)</f>
        <v/>
      </c>
      <c r="L241" s="4">
        <f>IF(OR(F241="",I241=""),"",I241-F241)</f>
        <v/>
      </c>
      <c r="M241" s="3" t="n">
        <v>1.8</v>
      </c>
      <c r="N241" s="3" t="n">
        <v>4.28</v>
      </c>
      <c r="O241" s="3" t="n">
        <v>2.48</v>
      </c>
      <c r="P241" s="3" t="n">
        <v>20.39</v>
      </c>
      <c r="Q241" s="3" t="n">
        <v>170</v>
      </c>
      <c r="R241" s="3" t="n">
        <v>5.0959</v>
      </c>
      <c r="S241" s="3">
        <f>IF(OR(Q241="",R241="",Q241=0),"",R241/Q241*100)</f>
        <v/>
      </c>
    </row>
    <row r="242" ht="16" customHeight="1">
      <c r="A242" s="2" t="inlineStr">
        <is>
          <t>3443</t>
        </is>
      </c>
      <c r="B242" s="2" t="inlineStr">
        <is>
          <t>創意</t>
        </is>
      </c>
      <c r="C242" s="2" t="inlineStr">
        <is>
          <t>半導體業</t>
        </is>
      </c>
      <c r="D242" s="3" t="n">
        <v>27.2</v>
      </c>
      <c r="E242" s="3" t="n">
        <v>15.93</v>
      </c>
      <c r="F242" s="3" t="n">
        <v>14.38</v>
      </c>
      <c r="G242" s="3" t="n">
        <v>21.55</v>
      </c>
      <c r="H242" s="3" t="n">
        <v>12.06</v>
      </c>
      <c r="I242" s="3" t="n">
        <v>11.19</v>
      </c>
      <c r="J242" s="4">
        <f>IF(OR(D242="",G242=""),"",G242-D242)</f>
        <v/>
      </c>
      <c r="K242" s="4">
        <f>IF(OR(E242="",H242=""),"",H242-E242)</f>
        <v/>
      </c>
      <c r="L242" s="4">
        <f>IF(OR(F242="",I242=""),"",I242-F242)</f>
        <v/>
      </c>
      <c r="M242" s="3" t="n">
        <v>12.28</v>
      </c>
      <c r="N242" s="3" t="n">
        <v>23.88</v>
      </c>
      <c r="O242" s="3" t="n">
        <v>11.6</v>
      </c>
      <c r="P242" s="3" t="n">
        <v>137.52</v>
      </c>
      <c r="Q242" s="3" t="n">
        <v>7635</v>
      </c>
      <c r="R242" s="3" t="n">
        <v>20</v>
      </c>
      <c r="S242" s="3">
        <f>IF(OR(Q242="",R242="",Q242=0),"",R242/Q242*100)</f>
        <v/>
      </c>
    </row>
    <row r="243" ht="16" customHeight="1">
      <c r="A243" s="2" t="inlineStr">
        <is>
          <t>3450</t>
        </is>
      </c>
      <c r="B243" s="2" t="inlineStr">
        <is>
          <t>聯鈞</t>
        </is>
      </c>
      <c r="C243" s="2" t="inlineStr">
        <is>
          <t>其他電子業</t>
        </is>
      </c>
      <c r="D243" s="3" t="n">
        <v>24.8</v>
      </c>
      <c r="E243" s="3" t="n">
        <v>12.75</v>
      </c>
      <c r="F243" s="3" t="n">
        <v>8.6</v>
      </c>
      <c r="G243" s="3" t="n">
        <v>32.37</v>
      </c>
      <c r="H243" s="3" t="n">
        <v>22.05</v>
      </c>
      <c r="I243" s="3" t="n">
        <v>16.81</v>
      </c>
      <c r="J243" s="4">
        <f>IF(OR(D243="",G243=""),"",G243-D243)</f>
        <v/>
      </c>
      <c r="K243" s="4">
        <f>IF(OR(E243="",H243=""),"",H243-E243)</f>
        <v/>
      </c>
      <c r="L243" s="4">
        <f>IF(OR(F243="",I243=""),"",I243-F243)</f>
        <v/>
      </c>
      <c r="M243" s="3" t="n">
        <v>0.6899999999999999</v>
      </c>
      <c r="N243" s="3" t="n">
        <v>2.78</v>
      </c>
      <c r="O243" s="3" t="n">
        <v>2.09</v>
      </c>
      <c r="P243" s="3" t="n">
        <v>111.76</v>
      </c>
      <c r="Q243" s="3" t="n">
        <v>409</v>
      </c>
      <c r="R243" s="3" t="n">
        <v>1</v>
      </c>
      <c r="S243" s="3">
        <f>IF(OR(Q243="",R243="",Q243=0),"",R243/Q243*100)</f>
        <v/>
      </c>
    </row>
    <row r="244" ht="16" customHeight="1">
      <c r="A244" s="2" t="inlineStr">
        <is>
          <t>3481</t>
        </is>
      </c>
      <c r="B244" s="2" t="inlineStr">
        <is>
          <t>群創</t>
        </is>
      </c>
      <c r="C244" s="2" t="inlineStr">
        <is>
          <t>光電業</t>
        </is>
      </c>
      <c r="D244" s="3" t="n">
        <v>14.43</v>
      </c>
      <c r="E244" s="3" t="n">
        <v>2.25</v>
      </c>
      <c r="F244" s="3" t="n">
        <v>2.69</v>
      </c>
      <c r="G244" s="3" t="n">
        <v>14.57</v>
      </c>
      <c r="H244" s="3" t="n">
        <v>2.56</v>
      </c>
      <c r="I244" s="3" t="n">
        <v>7.32</v>
      </c>
      <c r="J244" s="4">
        <f>IF(OR(D244="",G244=""),"",G244-D244)</f>
        <v/>
      </c>
      <c r="K244" s="4">
        <f>IF(OR(E244="",H244=""),"",H244-E244)</f>
        <v/>
      </c>
      <c r="L244" s="4">
        <f>IF(OR(F244="",I244=""),"",I244-F244)</f>
        <v/>
      </c>
      <c r="M244" s="3" t="n">
        <v>0.2</v>
      </c>
      <c r="N244" s="3" t="n">
        <v>0.72</v>
      </c>
      <c r="O244" s="3" t="n">
        <v>0.52</v>
      </c>
      <c r="P244" s="3" t="n">
        <v>64.23</v>
      </c>
      <c r="Q244" s="3" t="n">
        <v>42.55</v>
      </c>
      <c r="R244" s="3" t="n">
        <v>0.5</v>
      </c>
      <c r="S244" s="3">
        <f>IF(OR(Q244="",R244="",Q244=0),"",R244/Q244*100)</f>
        <v/>
      </c>
    </row>
    <row r="245" ht="16" customHeight="1">
      <c r="A245" s="2" t="inlineStr">
        <is>
          <t>3491</t>
        </is>
      </c>
      <c r="B245" s="2" t="inlineStr">
        <is>
          <t>昇達科</t>
        </is>
      </c>
      <c r="C245" s="2" t="inlineStr">
        <is>
          <t>通信網路業</t>
        </is>
      </c>
      <c r="D245" s="3" t="n">
        <v>57.98</v>
      </c>
      <c r="E245" s="3" t="n">
        <v>30.74</v>
      </c>
      <c r="F245" s="3" t="n">
        <v>24.81</v>
      </c>
      <c r="G245" s="3" t="n">
        <v>55.59</v>
      </c>
      <c r="H245" s="3" t="n">
        <v>26.77</v>
      </c>
      <c r="I245" s="3" t="n">
        <v>34.12</v>
      </c>
      <c r="J245" s="4">
        <f>IF(OR(D245="",G245=""),"",G245-D245)</f>
        <v/>
      </c>
      <c r="K245" s="4">
        <f>IF(OR(E245="",H245=""),"",H245-E245)</f>
        <v/>
      </c>
      <c r="L245" s="4">
        <f>IF(OR(F245="",I245=""),"",I245-F245)</f>
        <v/>
      </c>
      <c r="M245" s="3" t="n">
        <v>3.68</v>
      </c>
      <c r="N245" s="3" t="n">
        <v>8.15</v>
      </c>
      <c r="O245" s="3" t="n">
        <v>4.47</v>
      </c>
      <c r="P245" s="3" t="n">
        <v>109.3</v>
      </c>
      <c r="Q245" s="3" t="n">
        <v>1255</v>
      </c>
      <c r="R245" s="3" t="n">
        <v>6</v>
      </c>
      <c r="S245" s="3">
        <f>IF(OR(Q245="",R245="",Q245=0),"",R245/Q245*100)</f>
        <v/>
      </c>
    </row>
    <row r="246" ht="16" customHeight="1">
      <c r="A246" s="2" t="inlineStr">
        <is>
          <t>3515</t>
        </is>
      </c>
      <c r="B246" s="2" t="inlineStr">
        <is>
          <t>華擎</t>
        </is>
      </c>
      <c r="C246" s="2" t="inlineStr">
        <is>
          <t>電腦週邊</t>
        </is>
      </c>
      <c r="D246" s="3" t="n">
        <v>14.96</v>
      </c>
      <c r="E246" s="3" t="n">
        <v>7.22</v>
      </c>
      <c r="F246" s="3" t="n">
        <v>6.37</v>
      </c>
      <c r="G246" s="3" t="n">
        <v>19.96</v>
      </c>
      <c r="H246" s="3" t="n">
        <v>9.130000000000001</v>
      </c>
      <c r="I246" s="3" t="n">
        <v>7.88</v>
      </c>
      <c r="J246" s="4">
        <f>IF(OR(D246="",G246=""),"",G246-D246)</f>
        <v/>
      </c>
      <c r="K246" s="4">
        <f>IF(OR(E246="",H246=""),"",H246-E246)</f>
        <v/>
      </c>
      <c r="L246" s="4">
        <f>IF(OR(F246="",I246=""),"",I246-F246)</f>
        <v/>
      </c>
      <c r="M246" s="3" t="n">
        <v>4.14</v>
      </c>
      <c r="N246" s="3" t="n">
        <v>7.1</v>
      </c>
      <c r="O246" s="3" t="n">
        <v>2.96</v>
      </c>
      <c r="P246" s="3" t="n">
        <v>14.28</v>
      </c>
      <c r="Q246" s="3" t="n">
        <v>214.5</v>
      </c>
      <c r="R246" s="3" t="n">
        <v>11</v>
      </c>
      <c r="S246" s="3">
        <f>IF(OR(Q246="",R246="",Q246=0),"",R246/Q246*100)</f>
        <v/>
      </c>
    </row>
    <row r="247" ht="16" customHeight="1">
      <c r="A247" s="2" t="inlineStr">
        <is>
          <t>3526</t>
        </is>
      </c>
      <c r="B247" s="2" t="inlineStr">
        <is>
          <t>凡甲</t>
        </is>
      </c>
      <c r="C247" s="2" t="inlineStr">
        <is>
          <t>電子零組件業</t>
        </is>
      </c>
      <c r="D247" s="3" t="n">
        <v>50.38</v>
      </c>
      <c r="E247" s="3" t="n">
        <v>33.43</v>
      </c>
      <c r="F247" s="3" t="n">
        <v>28.02</v>
      </c>
      <c r="G247" s="3" t="n">
        <v>47.59</v>
      </c>
      <c r="H247" s="3" t="n">
        <v>29.46</v>
      </c>
      <c r="I247" s="3" t="n">
        <v>23.94</v>
      </c>
      <c r="J247" s="4">
        <f>IF(OR(D247="",G247=""),"",G247-D247)</f>
        <v/>
      </c>
      <c r="K247" s="4">
        <f>IF(OR(E247="",H247=""),"",H247-E247)</f>
        <v/>
      </c>
      <c r="L247" s="4">
        <f>IF(OR(F247="",I247=""),"",I247-F247)</f>
        <v/>
      </c>
      <c r="M247" s="3" t="n">
        <v>4.7</v>
      </c>
      <c r="N247" s="3" t="n">
        <v>9.119999999999999</v>
      </c>
      <c r="O247" s="3" t="n">
        <v>4.42</v>
      </c>
      <c r="P247" s="3" t="n"/>
      <c r="Q247" s="3" t="n">
        <v>233</v>
      </c>
      <c r="R247" s="3" t="n">
        <v>13.53</v>
      </c>
      <c r="S247" s="3">
        <f>IF(OR(Q247="",R247="",Q247=0),"",R247/Q247*100)</f>
        <v/>
      </c>
    </row>
    <row r="248" ht="16" customHeight="1">
      <c r="A248" s="2" t="inlineStr">
        <is>
          <t>3529</t>
        </is>
      </c>
      <c r="B248" s="2" t="inlineStr">
        <is>
          <t>力旺</t>
        </is>
      </c>
      <c r="C248" s="2" t="inlineStr">
        <is>
          <t>半導體業</t>
        </is>
      </c>
      <c r="D248" s="3" t="n">
        <v>100</v>
      </c>
      <c r="E248" s="3" t="n">
        <v>60.55</v>
      </c>
      <c r="F248" s="3" t="n">
        <v>56.28</v>
      </c>
      <c r="G248" s="3" t="n">
        <v>100</v>
      </c>
      <c r="H248" s="3" t="n">
        <v>60.73</v>
      </c>
      <c r="I248" s="3" t="n">
        <v>54.28</v>
      </c>
      <c r="J248" s="4">
        <f>IF(OR(D248="",G248=""),"",G248-D248)</f>
        <v/>
      </c>
      <c r="K248" s="4">
        <f>IF(OR(E248="",H248=""),"",H248-E248)</f>
        <v/>
      </c>
      <c r="L248" s="4">
        <f>IF(OR(F248="",I248=""),"",I248-F248)</f>
        <v/>
      </c>
      <c r="M248" s="3" t="n">
        <v>7.98</v>
      </c>
      <c r="N248" s="3" t="n">
        <v>15.69</v>
      </c>
      <c r="O248" s="3" t="n">
        <v>7.71</v>
      </c>
      <c r="P248" s="3" t="n">
        <v>74.14</v>
      </c>
      <c r="Q248" s="3" t="n">
        <v>2490</v>
      </c>
      <c r="R248" s="3" t="n">
        <v>20.5</v>
      </c>
      <c r="S248" s="3">
        <f>IF(OR(Q248="",R248="",Q248=0),"",R248/Q248*100)</f>
        <v/>
      </c>
    </row>
    <row r="249" ht="16" customHeight="1">
      <c r="A249" s="2" t="inlineStr">
        <is>
          <t>3532</t>
        </is>
      </c>
      <c r="B249" s="2" t="inlineStr">
        <is>
          <t>台勝科</t>
        </is>
      </c>
      <c r="C249" s="2" t="inlineStr">
        <is>
          <t>半導體業</t>
        </is>
      </c>
      <c r="D249" s="3" t="n">
        <v>0.83</v>
      </c>
      <c r="E249" s="3" t="n">
        <v>-3.18</v>
      </c>
      <c r="F249" s="3" t="n">
        <v>-2.06</v>
      </c>
      <c r="G249" s="3" t="n">
        <v>6.9</v>
      </c>
      <c r="H249" s="3" t="n">
        <v>2.64</v>
      </c>
      <c r="I249" s="3" t="n">
        <v>1.33</v>
      </c>
      <c r="J249" s="4">
        <f>IF(OR(D249="",G249=""),"",G249-D249)</f>
        <v/>
      </c>
      <c r="K249" s="4">
        <f>IF(OR(E249="",H249=""),"",H249-E249)</f>
        <v/>
      </c>
      <c r="L249" s="4">
        <f>IF(OR(F249="",I249=""),"",I249-F249)</f>
        <v/>
      </c>
      <c r="M249" s="3" t="n">
        <v>-0.18</v>
      </c>
      <c r="N249" s="3" t="n">
        <v>-0.05</v>
      </c>
      <c r="O249" s="3" t="n">
        <v>0.13</v>
      </c>
      <c r="P249" s="3" t="n"/>
      <c r="Q249" s="3" t="n">
        <v>355.5</v>
      </c>
      <c r="R249" s="3" t="n">
        <v>1</v>
      </c>
      <c r="S249" s="3">
        <f>IF(OR(Q249="",R249="",Q249=0),"",R249/Q249*100)</f>
        <v/>
      </c>
    </row>
    <row r="250" ht="16" customHeight="1">
      <c r="A250" s="2" t="inlineStr">
        <is>
          <t>3533</t>
        </is>
      </c>
      <c r="B250" s="2" t="inlineStr">
        <is>
          <t>嘉澤</t>
        </is>
      </c>
      <c r="C250" s="2" t="inlineStr">
        <is>
          <t>電子工業</t>
        </is>
      </c>
      <c r="D250" s="3" t="n">
        <v>49.55</v>
      </c>
      <c r="E250" s="3" t="n">
        <v>29.04</v>
      </c>
      <c r="F250" s="3" t="n">
        <v>26.07</v>
      </c>
      <c r="G250" s="3" t="n">
        <v>45.46</v>
      </c>
      <c r="H250" s="3" t="n">
        <v>21.97</v>
      </c>
      <c r="I250" s="3" t="n">
        <v>20.62</v>
      </c>
      <c r="J250" s="4">
        <f>IF(OR(D250="",G250=""),"",G250-D250)</f>
        <v/>
      </c>
      <c r="K250" s="4">
        <f>IF(OR(E250="",H250=""),"",H250-E250)</f>
        <v/>
      </c>
      <c r="L250" s="4">
        <f>IF(OR(F250="",I250=""),"",I250-F250)</f>
        <v/>
      </c>
      <c r="M250" s="3" t="n">
        <v>21.37</v>
      </c>
      <c r="N250" s="3" t="n">
        <v>38.72</v>
      </c>
      <c r="O250" s="3" t="n">
        <v>17.35</v>
      </c>
      <c r="P250" s="3" t="n"/>
      <c r="Q250" s="3" t="n">
        <v>1860</v>
      </c>
      <c r="R250" s="3" t="n">
        <v>34.93</v>
      </c>
      <c r="S250" s="3">
        <f>IF(OR(Q250="",R250="",Q250=0),"",R250/Q250*100)</f>
        <v/>
      </c>
    </row>
    <row r="251" ht="16" customHeight="1">
      <c r="A251" s="2" t="inlineStr">
        <is>
          <t>3563</t>
        </is>
      </c>
      <c r="B251" s="2" t="inlineStr">
        <is>
          <t>牧德</t>
        </is>
      </c>
      <c r="C251" s="2" t="inlineStr">
        <is>
          <t>光電業</t>
        </is>
      </c>
      <c r="D251" s="3" t="n">
        <v>60.58</v>
      </c>
      <c r="E251" s="3" t="n">
        <v>38.67</v>
      </c>
      <c r="F251" s="3" t="n">
        <v>34.32</v>
      </c>
      <c r="G251" s="3" t="n">
        <v>60.41</v>
      </c>
      <c r="H251" s="3" t="n">
        <v>39.05</v>
      </c>
      <c r="I251" s="3" t="n">
        <v>32.11</v>
      </c>
      <c r="J251" s="4">
        <f>IF(OR(D251="",G251=""),"",G251-D251)</f>
        <v/>
      </c>
      <c r="K251" s="4">
        <f>IF(OR(E251="",H251=""),"",H251-E251)</f>
        <v/>
      </c>
      <c r="L251" s="4">
        <f>IF(OR(F251="",I251=""),"",I251-F251)</f>
        <v/>
      </c>
      <c r="M251" s="3" t="n">
        <v>4.61</v>
      </c>
      <c r="N251" s="3" t="n">
        <v>9.800000000000001</v>
      </c>
      <c r="O251" s="3" t="n">
        <v>5.19</v>
      </c>
      <c r="P251" s="3" t="n">
        <v>39.02</v>
      </c>
      <c r="Q251" s="3" t="n">
        <v>680</v>
      </c>
      <c r="R251" s="3" t="n">
        <v>12</v>
      </c>
      <c r="S251" s="3">
        <f>IF(OR(Q251="",R251="",Q251=0),"",R251/Q251*100)</f>
        <v/>
      </c>
    </row>
    <row r="252" ht="16" customHeight="1">
      <c r="A252" s="2" t="inlineStr">
        <is>
          <t>3576</t>
        </is>
      </c>
      <c r="B252" s="2" t="inlineStr">
        <is>
          <t>聯合再生</t>
        </is>
      </c>
      <c r="C252" s="2" t="inlineStr">
        <is>
          <t>光電業</t>
        </is>
      </c>
      <c r="D252" s="3" t="n">
        <v>-45.65</v>
      </c>
      <c r="E252" s="3" t="n">
        <v>-86.65000000000001</v>
      </c>
      <c r="F252" s="3" t="n">
        <v>335.73</v>
      </c>
      <c r="G252" s="3" t="n">
        <v>-6.83</v>
      </c>
      <c r="H252" s="3" t="n">
        <v>-34.7</v>
      </c>
      <c r="I252" s="3" t="n">
        <v>-30.27</v>
      </c>
      <c r="J252" s="4">
        <f>IF(OR(D252="",G252=""),"",G252-D252)</f>
        <v/>
      </c>
      <c r="K252" s="4">
        <f>IF(OR(E252="",H252=""),"",H252-E252)</f>
        <v/>
      </c>
      <c r="L252" s="4">
        <f>IF(OR(F252="",I252=""),"",I252-F252)</f>
        <v/>
      </c>
      <c r="M252" s="3" t="n">
        <v>1.07</v>
      </c>
      <c r="N252" s="3" t="n">
        <v>0.93</v>
      </c>
      <c r="O252" s="3" t="n">
        <v>-0.14</v>
      </c>
      <c r="P252" s="3" t="n">
        <v>32.04</v>
      </c>
      <c r="Q252" s="3" t="n">
        <v>16.35</v>
      </c>
      <c r="R252" s="3" t="n"/>
      <c r="S252" s="3">
        <f>IF(OR(Q252="",R252="",Q252=0),"",R252/Q252*100)</f>
        <v/>
      </c>
    </row>
    <row r="253" ht="16" customHeight="1">
      <c r="A253" s="2" t="inlineStr">
        <is>
          <t>3583</t>
        </is>
      </c>
      <c r="B253" s="2" t="inlineStr">
        <is>
          <t>辛耘</t>
        </is>
      </c>
      <c r="C253" s="2" t="inlineStr">
        <is>
          <t>半導體業</t>
        </is>
      </c>
      <c r="D253" s="3" t="n">
        <v>33.58</v>
      </c>
      <c r="E253" s="3" t="n">
        <v>12.95</v>
      </c>
      <c r="F253" s="3" t="n">
        <v>10.99</v>
      </c>
      <c r="G253" s="3" t="n">
        <v>40.25</v>
      </c>
      <c r="H253" s="3" t="n">
        <v>16.81</v>
      </c>
      <c r="I253" s="3" t="n">
        <v>13.89</v>
      </c>
      <c r="J253" s="4">
        <f>IF(OR(D253="",G253=""),"",G253-D253)</f>
        <v/>
      </c>
      <c r="K253" s="4">
        <f>IF(OR(E253="",H253=""),"",H253-E253)</f>
        <v/>
      </c>
      <c r="L253" s="4">
        <f>IF(OR(F253="",I253=""),"",I253-F253)</f>
        <v/>
      </c>
      <c r="M253" s="3" t="n">
        <v>4.14</v>
      </c>
      <c r="N253" s="3" t="n">
        <v>9.15</v>
      </c>
      <c r="O253" s="3" t="n">
        <v>5.01</v>
      </c>
      <c r="P253" s="3" t="n">
        <v>40.66</v>
      </c>
      <c r="Q253" s="3" t="n">
        <v>564</v>
      </c>
      <c r="R253" s="3" t="n">
        <v>11.7476</v>
      </c>
      <c r="S253" s="3">
        <f>IF(OR(Q253="",R253="",Q253=0),"",R253/Q253*100)</f>
        <v/>
      </c>
    </row>
    <row r="254" ht="16" customHeight="1">
      <c r="A254" s="2" t="inlineStr">
        <is>
          <t>3587</t>
        </is>
      </c>
      <c r="B254" s="2" t="inlineStr">
        <is>
          <t>閎康</t>
        </is>
      </c>
      <c r="C254" s="2" t="inlineStr">
        <is>
          <t>其他電子類</t>
        </is>
      </c>
      <c r="D254" s="3" t="n">
        <v>30.89</v>
      </c>
      <c r="E254" s="3" t="n">
        <v>12.7</v>
      </c>
      <c r="F254" s="3" t="n">
        <v>10.53</v>
      </c>
      <c r="G254" s="3" t="n">
        <v>33.84</v>
      </c>
      <c r="H254" s="3" t="n">
        <v>16.56</v>
      </c>
      <c r="I254" s="3" t="n">
        <v>3.46</v>
      </c>
      <c r="J254" s="4">
        <f>IF(OR(D254="",G254=""),"",G254-D254)</f>
        <v/>
      </c>
      <c r="K254" s="4">
        <f>IF(OR(E254="",H254=""),"",H254-E254)</f>
        <v/>
      </c>
      <c r="L254" s="4">
        <f>IF(OR(F254="",I254=""),"",I254-F254)</f>
        <v/>
      </c>
      <c r="M254" s="3" t="n">
        <v>2.24</v>
      </c>
      <c r="N254" s="3" t="n">
        <v>3.09</v>
      </c>
      <c r="O254" s="3" t="n">
        <v>0.85</v>
      </c>
      <c r="P254" s="3" t="n"/>
      <c r="Q254" s="3" t="n">
        <v>215</v>
      </c>
      <c r="R254" s="3" t="n">
        <v>4.21</v>
      </c>
      <c r="S254" s="3">
        <f>IF(OR(Q254="",R254="",Q254=0),"",R254/Q254*100)</f>
        <v/>
      </c>
    </row>
    <row r="255" ht="16" customHeight="1">
      <c r="A255" s="2" t="inlineStr">
        <is>
          <t>3592</t>
        </is>
      </c>
      <c r="B255" s="2" t="inlineStr">
        <is>
          <t>瑞鼎</t>
        </is>
      </c>
      <c r="C255" s="2" t="inlineStr">
        <is>
          <t>半導體業</t>
        </is>
      </c>
      <c r="D255" s="3" t="n">
        <v>28.58</v>
      </c>
      <c r="E255" s="3" t="n">
        <v>5.28</v>
      </c>
      <c r="F255" s="3" t="n">
        <v>5.33</v>
      </c>
      <c r="G255" s="3" t="n">
        <v>25.72</v>
      </c>
      <c r="H255" s="3" t="n">
        <v>5.19</v>
      </c>
      <c r="I255" s="3" t="n">
        <v>5.04</v>
      </c>
      <c r="J255" s="4">
        <f>IF(OR(D255="",G255=""),"",G255-D255)</f>
        <v/>
      </c>
      <c r="K255" s="4">
        <f>IF(OR(E255="",H255=""),"",H255-E255)</f>
        <v/>
      </c>
      <c r="L255" s="4">
        <f>IF(OR(F255="",I255=""),"",I255-F255)</f>
        <v/>
      </c>
      <c r="M255" s="3" t="n">
        <v>3.82</v>
      </c>
      <c r="N255" s="3" t="n">
        <v>8.359999999999999</v>
      </c>
      <c r="O255" s="3" t="n">
        <v>4.54</v>
      </c>
      <c r="P255" s="3" t="n">
        <v>13.12</v>
      </c>
      <c r="Q255" s="3" t="n">
        <v>249</v>
      </c>
      <c r="R255" s="3" t="n">
        <v>14.6</v>
      </c>
      <c r="S255" s="3">
        <f>IF(OR(Q255="",R255="",Q255=0),"",R255/Q255*100)</f>
        <v/>
      </c>
    </row>
    <row r="256" ht="16" customHeight="1">
      <c r="A256" s="2" t="inlineStr">
        <is>
          <t>3596</t>
        </is>
      </c>
      <c r="B256" s="2" t="inlineStr">
        <is>
          <t>智易</t>
        </is>
      </c>
      <c r="C256" s="2" t="inlineStr">
        <is>
          <t>通信網路業</t>
        </is>
      </c>
      <c r="D256" s="3" t="n">
        <v>15.16</v>
      </c>
      <c r="E256" s="3" t="n">
        <v>6.43</v>
      </c>
      <c r="F256" s="3" t="n">
        <v>5.39</v>
      </c>
      <c r="G256" s="3" t="n">
        <v>15.18</v>
      </c>
      <c r="H256" s="3" t="n">
        <v>6.69</v>
      </c>
      <c r="I256" s="3" t="n">
        <v>5.36</v>
      </c>
      <c r="J256" s="4">
        <f>IF(OR(D256="",G256=""),"",G256-D256)</f>
        <v/>
      </c>
      <c r="K256" s="4">
        <f>IF(OR(E256="",H256=""),"",H256-E256)</f>
        <v/>
      </c>
      <c r="L256" s="4">
        <f>IF(OR(F256="",I256=""),"",I256-F256)</f>
        <v/>
      </c>
      <c r="M256" s="3" t="n">
        <v>3.12</v>
      </c>
      <c r="N256" s="3" t="n">
        <v>6.5</v>
      </c>
      <c r="O256" s="3" t="n">
        <v>3.38</v>
      </c>
      <c r="P256" s="3" t="n">
        <v>12.38</v>
      </c>
      <c r="Q256" s="3" t="n">
        <v>149.5</v>
      </c>
      <c r="R256" s="3" t="n">
        <v>8</v>
      </c>
      <c r="S256" s="3">
        <f>IF(OR(Q256="",R256="",Q256=0),"",R256/Q256*100)</f>
        <v/>
      </c>
    </row>
    <row r="257" ht="16" customHeight="1">
      <c r="A257" s="2" t="inlineStr">
        <is>
          <t>3617</t>
        </is>
      </c>
      <c r="B257" s="2" t="inlineStr">
        <is>
          <t>碩天</t>
        </is>
      </c>
      <c r="C257" s="2" t="inlineStr">
        <is>
          <t>其他電子</t>
        </is>
      </c>
      <c r="D257" s="3" t="n">
        <v>53.87</v>
      </c>
      <c r="E257" s="3" t="n">
        <v>16.26</v>
      </c>
      <c r="F257" s="3" t="n">
        <v>13.75</v>
      </c>
      <c r="G257" s="3" t="n">
        <v>62.89</v>
      </c>
      <c r="H257" s="3" t="n">
        <v>27.63</v>
      </c>
      <c r="I257" s="3" t="n">
        <v>20.15</v>
      </c>
      <c r="J257" s="4">
        <f>IF(OR(D257="",G257=""),"",G257-D257)</f>
        <v/>
      </c>
      <c r="K257" s="4">
        <f>IF(OR(E257="",H257=""),"",H257-E257)</f>
        <v/>
      </c>
      <c r="L257" s="4">
        <f>IF(OR(F257="",I257=""),"",I257-F257)</f>
        <v/>
      </c>
      <c r="M257" s="3" t="n">
        <v>4.13</v>
      </c>
      <c r="N257" s="3" t="n">
        <v>11.12</v>
      </c>
      <c r="O257" s="3" t="n">
        <v>6.99</v>
      </c>
      <c r="P257" s="3" t="n">
        <v>12.24</v>
      </c>
      <c r="Q257" s="3" t="n">
        <v>240.5</v>
      </c>
      <c r="R257" s="3" t="n">
        <v>9.937099999999999</v>
      </c>
      <c r="S257" s="3">
        <f>IF(OR(Q257="",R257="",Q257=0),"",R257/Q257*100)</f>
        <v/>
      </c>
    </row>
    <row r="258" ht="16" customHeight="1">
      <c r="A258" s="2" t="inlineStr">
        <is>
          <t>3653</t>
        </is>
      </c>
      <c r="B258" s="2" t="inlineStr">
        <is>
          <t>健策</t>
        </is>
      </c>
      <c r="C258" s="2" t="inlineStr">
        <is>
          <t>電子工業</t>
        </is>
      </c>
      <c r="D258" s="3" t="n">
        <v>41.78</v>
      </c>
      <c r="E258" s="3" t="n">
        <v>31.98</v>
      </c>
      <c r="F258" s="3" t="n">
        <v>26.47</v>
      </c>
      <c r="G258" s="3" t="n">
        <v>46.81</v>
      </c>
      <c r="H258" s="3" t="n">
        <v>37.79</v>
      </c>
      <c r="I258" s="3" t="n">
        <v>32.02</v>
      </c>
      <c r="J258" s="4">
        <f>IF(OR(D258="",G258=""),"",G258-D258)</f>
        <v/>
      </c>
      <c r="K258" s="4">
        <f>IF(OR(E258="",H258=""),"",H258-E258)</f>
        <v/>
      </c>
      <c r="L258" s="4">
        <f>IF(OR(F258="",I258=""),"",I258-F258)</f>
        <v/>
      </c>
      <c r="M258" s="3" t="n">
        <v>9.529999999999999</v>
      </c>
      <c r="N258" s="3" t="n">
        <v>25.33</v>
      </c>
      <c r="O258" s="3" t="n">
        <v>15.8</v>
      </c>
      <c r="P258" s="3" t="n">
        <v>126.38</v>
      </c>
      <c r="Q258" s="3" t="n">
        <v>6315</v>
      </c>
      <c r="R258" s="3" t="n">
        <v>21.72</v>
      </c>
      <c r="S258" s="3">
        <f>IF(OR(Q258="",R258="",Q258=0),"",R258/Q258*100)</f>
        <v/>
      </c>
    </row>
    <row r="259" ht="16" customHeight="1">
      <c r="A259" s="2" t="inlineStr">
        <is>
          <t>3661</t>
        </is>
      </c>
      <c r="B259" s="2" t="inlineStr">
        <is>
          <t>世芯-KY</t>
        </is>
      </c>
      <c r="C259" s="2" t="inlineStr">
        <is>
          <t>半導體業</t>
        </is>
      </c>
      <c r="D259" s="3" t="n">
        <v>50.18</v>
      </c>
      <c r="E259" s="3" t="n">
        <v>32.66</v>
      </c>
      <c r="F259" s="3" t="n">
        <v>34.09</v>
      </c>
      <c r="G259" s="3" t="n"/>
      <c r="H259" s="3" t="n"/>
      <c r="I259" s="3" t="n"/>
      <c r="J259" s="4">
        <f>IF(OR(D259="",G259=""),"",G259-D259)</f>
        <v/>
      </c>
      <c r="K259" s="4">
        <f>IF(OR(E259="",H259=""),"",H259-E259)</f>
        <v/>
      </c>
      <c r="L259" s="4">
        <f>IF(OR(F259="",I259=""),"",I259-F259)</f>
        <v/>
      </c>
      <c r="M259" s="3" t="n">
        <v>17.55</v>
      </c>
      <c r="N259" s="3" t="n"/>
      <c r="O259" s="3" t="n"/>
      <c r="P259" s="3" t="n">
        <v>61.7</v>
      </c>
      <c r="Q259" s="3" t="n">
        <v>3425</v>
      </c>
      <c r="R259" s="3" t="n">
        <v>32.55</v>
      </c>
      <c r="S259" s="3">
        <f>IF(OR(Q259="",R259="",Q259=0),"",R259/Q259*100)</f>
        <v/>
      </c>
    </row>
    <row r="260" ht="16" customHeight="1">
      <c r="A260" s="2" t="inlineStr">
        <is>
          <t>3665</t>
        </is>
      </c>
      <c r="B260" s="2" t="inlineStr">
        <is>
          <t>貿聯-KY</t>
        </is>
      </c>
      <c r="C260" s="2" t="inlineStr">
        <is>
          <t>其他電子業</t>
        </is>
      </c>
      <c r="D260" s="3" t="n">
        <v>28.77</v>
      </c>
      <c r="E260" s="3" t="n">
        <v>14.9</v>
      </c>
      <c r="F260" s="3" t="n">
        <v>10.9</v>
      </c>
      <c r="G260" s="3" t="n">
        <v>30.73</v>
      </c>
      <c r="H260" s="3" t="n">
        <v>17.22</v>
      </c>
      <c r="I260" s="3" t="n">
        <v>12.81</v>
      </c>
      <c r="J260" s="4">
        <f>IF(OR(D260="",G260=""),"",G260-D260)</f>
        <v/>
      </c>
      <c r="K260" s="4">
        <f>IF(OR(E260="",H260=""),"",H260-E260)</f>
        <v/>
      </c>
      <c r="L260" s="4">
        <f>IF(OR(F260="",I260=""),"",I260-F260)</f>
        <v/>
      </c>
      <c r="M260" s="3" t="n">
        <v>11.66</v>
      </c>
      <c r="N260" s="3" t="n">
        <v>26.94</v>
      </c>
      <c r="O260" s="3" t="n">
        <v>15.28</v>
      </c>
      <c r="P260" s="3" t="n">
        <v>44.4</v>
      </c>
      <c r="Q260" s="3" t="n">
        <v>1625</v>
      </c>
      <c r="R260" s="3" t="n">
        <v>15.18</v>
      </c>
      <c r="S260" s="3">
        <f>IF(OR(Q260="",R260="",Q260=0),"",R260/Q260*100)</f>
        <v/>
      </c>
    </row>
    <row r="261" ht="16" customHeight="1">
      <c r="A261" s="2" t="inlineStr">
        <is>
          <t>3673</t>
        </is>
      </c>
      <c r="B261" s="2" t="inlineStr">
        <is>
          <t>TPK-KY</t>
        </is>
      </c>
      <c r="C261" s="2" t="inlineStr">
        <is>
          <t>光電</t>
        </is>
      </c>
      <c r="D261" s="3" t="n">
        <v>9.380000000000001</v>
      </c>
      <c r="E261" s="3" t="n">
        <v>-0.32</v>
      </c>
      <c r="F261" s="3" t="n">
        <v>3.24</v>
      </c>
      <c r="G261" s="3" t="n">
        <v>6.2</v>
      </c>
      <c r="H261" s="3" t="n">
        <v>-2.4</v>
      </c>
      <c r="I261" s="3" t="n">
        <v>4.24</v>
      </c>
      <c r="J261" s="4">
        <f>IF(OR(D261="",G261=""),"",G261-D261)</f>
        <v/>
      </c>
      <c r="K261" s="4">
        <f>IF(OR(E261="",H261=""),"",H261-E261)</f>
        <v/>
      </c>
      <c r="L261" s="4">
        <f>IF(OR(F261="",I261=""),"",I261-F261)</f>
        <v/>
      </c>
      <c r="M261" s="3" t="n">
        <v>1.33</v>
      </c>
      <c r="N261" s="3" t="n">
        <v>3.33</v>
      </c>
      <c r="O261" s="3" t="n">
        <v>2</v>
      </c>
      <c r="P261" s="3" t="n">
        <v>16.35</v>
      </c>
      <c r="Q261" s="3" t="n">
        <v>67.3</v>
      </c>
      <c r="R261" s="3" t="n">
        <v>1.8</v>
      </c>
      <c r="S261" s="3">
        <f>IF(OR(Q261="",R261="",Q261=0),"",R261/Q261*100)</f>
        <v/>
      </c>
    </row>
    <row r="262" ht="16" customHeight="1">
      <c r="A262" s="2" t="inlineStr">
        <is>
          <t>3675</t>
        </is>
      </c>
      <c r="B262" s="2" t="inlineStr">
        <is>
          <t>德微</t>
        </is>
      </c>
      <c r="C262" s="2" t="inlineStr">
        <is>
          <t>半導體業</t>
        </is>
      </c>
      <c r="D262" s="3" t="n">
        <v>38.26</v>
      </c>
      <c r="E262" s="3" t="n">
        <v>14.94</v>
      </c>
      <c r="F262" s="3" t="n">
        <v>12.05</v>
      </c>
      <c r="G262" s="3" t="n">
        <v>40.8</v>
      </c>
      <c r="H262" s="3" t="n">
        <v>17.63</v>
      </c>
      <c r="I262" s="3" t="n">
        <v>14.48</v>
      </c>
      <c r="J262" s="4">
        <f>IF(OR(D262="",G262=""),"",G262-D262)</f>
        <v/>
      </c>
      <c r="K262" s="4">
        <f>IF(OR(E262="",H262=""),"",H262-E262)</f>
        <v/>
      </c>
      <c r="L262" s="4">
        <f>IF(OR(F262="",I262=""),"",I262-F262)</f>
        <v/>
      </c>
      <c r="M262" s="3" t="n">
        <v>1.51</v>
      </c>
      <c r="N262" s="3" t="n">
        <v>3.63</v>
      </c>
      <c r="O262" s="3" t="n">
        <v>2.12</v>
      </c>
      <c r="P262" s="3" t="n">
        <v>46.77</v>
      </c>
      <c r="Q262" s="3" t="n">
        <v>266</v>
      </c>
      <c r="R262" s="3" t="n">
        <v>4</v>
      </c>
      <c r="S262" s="3">
        <f>IF(OR(Q262="",R262="",Q262=0),"",R262/Q262*100)</f>
        <v/>
      </c>
    </row>
    <row r="263" ht="16" customHeight="1">
      <c r="A263" s="2" t="inlineStr">
        <is>
          <t>3680</t>
        </is>
      </c>
      <c r="B263" s="2" t="inlineStr">
        <is>
          <t>家登</t>
        </is>
      </c>
      <c r="C263" s="2" t="inlineStr">
        <is>
          <t>半導體業</t>
        </is>
      </c>
      <c r="D263" s="3" t="n">
        <v>42.63</v>
      </c>
      <c r="E263" s="3" t="n">
        <v>15.63</v>
      </c>
      <c r="F263" s="3" t="n">
        <v>14.91</v>
      </c>
      <c r="G263" s="3" t="n">
        <v>43.71</v>
      </c>
      <c r="H263" s="3" t="n">
        <v>17.28</v>
      </c>
      <c r="I263" s="3" t="n">
        <v>26.52</v>
      </c>
      <c r="J263" s="4">
        <f>IF(OR(D263="",G263=""),"",G263-D263)</f>
        <v/>
      </c>
      <c r="K263" s="4">
        <f>IF(OR(E263="",H263=""),"",H263-E263)</f>
        <v/>
      </c>
      <c r="L263" s="4">
        <f>IF(OR(F263="",I263=""),"",I263-F263)</f>
        <v/>
      </c>
      <c r="M263" s="3" t="n">
        <v>2.55</v>
      </c>
      <c r="N263" s="3" t="n">
        <v>8.18</v>
      </c>
      <c r="O263" s="3" t="n">
        <v>5.63</v>
      </c>
      <c r="P263" s="3" t="n">
        <v>31.17</v>
      </c>
      <c r="Q263" s="3" t="n">
        <v>492.5</v>
      </c>
      <c r="R263" s="3" t="n">
        <v>5</v>
      </c>
      <c r="S263" s="3">
        <f>IF(OR(Q263="",R263="",Q263=0),"",R263/Q263*100)</f>
        <v/>
      </c>
    </row>
    <row r="264" ht="16" customHeight="1">
      <c r="A264" s="2" t="inlineStr">
        <is>
          <t>3693</t>
        </is>
      </c>
      <c r="B264" s="2" t="inlineStr">
        <is>
          <t>營邦</t>
        </is>
      </c>
      <c r="C264" s="2" t="inlineStr">
        <is>
          <t>電腦及週邊設備業</t>
        </is>
      </c>
      <c r="D264" s="3" t="n">
        <v>23.22</v>
      </c>
      <c r="E264" s="3" t="n">
        <v>3.08</v>
      </c>
      <c r="F264" s="3" t="n">
        <v>3.58</v>
      </c>
      <c r="G264" s="3" t="n">
        <v>27.98</v>
      </c>
      <c r="H264" s="3" t="n">
        <v>14.68</v>
      </c>
      <c r="I264" s="3" t="n">
        <v>12.81</v>
      </c>
      <c r="J264" s="4">
        <f>IF(OR(D264="",G264=""),"",G264-D264)</f>
        <v/>
      </c>
      <c r="K264" s="4">
        <f>IF(OR(E264="",H264=""),"",H264-E264)</f>
        <v/>
      </c>
      <c r="L264" s="4">
        <f>IF(OR(F264="",I264=""),"",I264-F264)</f>
        <v/>
      </c>
      <c r="M264" s="3" t="n">
        <v>1.54</v>
      </c>
      <c r="N264" s="3" t="n">
        <v>10.52</v>
      </c>
      <c r="O264" s="3" t="n">
        <v>8.98</v>
      </c>
      <c r="P264" s="3" t="n">
        <v>34.76</v>
      </c>
      <c r="Q264" s="3" t="n">
        <v>617</v>
      </c>
      <c r="R264" s="3" t="n">
        <v>8</v>
      </c>
      <c r="S264" s="3">
        <f>IF(OR(Q264="",R264="",Q264=0),"",R264/Q264*100)</f>
        <v/>
      </c>
    </row>
    <row r="265" ht="16" customHeight="1">
      <c r="A265" s="2" t="inlineStr">
        <is>
          <t>3702</t>
        </is>
      </c>
      <c r="B265" s="2" t="inlineStr">
        <is>
          <t>大聯大</t>
        </is>
      </c>
      <c r="C265" s="2" t="inlineStr">
        <is>
          <t>電子工業</t>
        </is>
      </c>
      <c r="D265" s="3" t="n">
        <v>4.49</v>
      </c>
      <c r="E265" s="3" t="n">
        <v>2.68</v>
      </c>
      <c r="F265" s="3" t="n">
        <v>1.82</v>
      </c>
      <c r="G265" s="3" t="n">
        <v>4.42</v>
      </c>
      <c r="H265" s="3" t="n">
        <v>2.61</v>
      </c>
      <c r="I265" s="3" t="n">
        <v>1.92</v>
      </c>
      <c r="J265" s="4">
        <f>IF(OR(D265="",G265=""),"",G265-D265)</f>
        <v/>
      </c>
      <c r="K265" s="4">
        <f>IF(OR(E265="",H265=""),"",H265-E265)</f>
        <v/>
      </c>
      <c r="L265" s="4">
        <f>IF(OR(F265="",I265=""),"",I265-F265)</f>
        <v/>
      </c>
      <c r="M265" s="3" t="n">
        <v>3.3</v>
      </c>
      <c r="N265" s="3" t="n">
        <v>8.34</v>
      </c>
      <c r="O265" s="3" t="n">
        <v>5.04</v>
      </c>
      <c r="P265" s="3" t="n">
        <v>9.85</v>
      </c>
      <c r="Q265" s="3" t="n">
        <v>108.5</v>
      </c>
      <c r="R265" s="3" t="n">
        <v>3.64</v>
      </c>
      <c r="S265" s="3">
        <f>IF(OR(Q265="",R265="",Q265=0),"",R265/Q265*100)</f>
        <v/>
      </c>
    </row>
    <row r="266" ht="16" customHeight="1">
      <c r="A266" s="2" t="inlineStr">
        <is>
          <t>3703</t>
        </is>
      </c>
      <c r="B266" s="2" t="inlineStr">
        <is>
          <t>欣陸</t>
        </is>
      </c>
      <c r="C266" s="2" t="inlineStr">
        <is>
          <t>建材營造</t>
        </is>
      </c>
      <c r="D266" s="3" t="n">
        <v>14.38</v>
      </c>
      <c r="E266" s="3" t="n">
        <v>5.1</v>
      </c>
      <c r="F266" s="3" t="n">
        <v>4.64</v>
      </c>
      <c r="G266" s="3" t="n">
        <v>14.37</v>
      </c>
      <c r="H266" s="3" t="n">
        <v>5.68</v>
      </c>
      <c r="I266" s="3" t="n">
        <v>2.66</v>
      </c>
      <c r="J266" s="4">
        <f>IF(OR(D266="",G266=""),"",G266-D266)</f>
        <v/>
      </c>
      <c r="K266" s="4">
        <f>IF(OR(E266="",H266=""),"",H266-E266)</f>
        <v/>
      </c>
      <c r="L266" s="4">
        <f>IF(OR(F266="",I266=""),"",I266-F266)</f>
        <v/>
      </c>
      <c r="M266" s="3" t="n">
        <v>0.33</v>
      </c>
      <c r="N266" s="3" t="n">
        <v>0.57</v>
      </c>
      <c r="O266" s="3" t="n">
        <v>0.24</v>
      </c>
      <c r="P266" s="3" t="n">
        <v>10.08</v>
      </c>
      <c r="Q266" s="3" t="n">
        <v>20.75</v>
      </c>
      <c r="R266" s="3" t="n">
        <v>1.05</v>
      </c>
      <c r="S266" s="3">
        <f>IF(OR(Q266="",R266="",Q266=0),"",R266/Q266*100)</f>
        <v/>
      </c>
    </row>
    <row r="267" ht="16" customHeight="1">
      <c r="A267" s="2" t="inlineStr">
        <is>
          <t>3704</t>
        </is>
      </c>
      <c r="B267" s="2" t="inlineStr">
        <is>
          <t>合勤控</t>
        </is>
      </c>
      <c r="C267" s="2" t="inlineStr">
        <is>
          <t>通訊網路</t>
        </is>
      </c>
      <c r="D267" s="3" t="n">
        <v>24.01</v>
      </c>
      <c r="E267" s="3" t="n">
        <v>1.83</v>
      </c>
      <c r="F267" s="3" t="n">
        <v>1.86</v>
      </c>
      <c r="G267" s="3" t="n">
        <v>23.7</v>
      </c>
      <c r="H267" s="3" t="n">
        <v>8.08</v>
      </c>
      <c r="I267" s="3" t="n">
        <v>6.05</v>
      </c>
      <c r="J267" s="4">
        <f>IF(OR(D267="",G267=""),"",G267-D267)</f>
        <v/>
      </c>
      <c r="K267" s="4">
        <f>IF(OR(E267="",H267=""),"",H267-E267)</f>
        <v/>
      </c>
      <c r="L267" s="4">
        <f>IF(OR(F267="",I267=""),"",I267-F267)</f>
        <v/>
      </c>
      <c r="M267" s="3" t="n">
        <v>0.29</v>
      </c>
      <c r="N267" s="3" t="n">
        <v>1.55</v>
      </c>
      <c r="O267" s="3" t="n">
        <v>1.26</v>
      </c>
      <c r="P267" s="3" t="n">
        <v>13.74</v>
      </c>
      <c r="Q267" s="3" t="n">
        <v>37.4</v>
      </c>
      <c r="R267" s="3" t="n">
        <v>0.4</v>
      </c>
      <c r="S267" s="3">
        <f>IF(OR(Q267="",R267="",Q267=0),"",R267/Q267*100)</f>
        <v/>
      </c>
    </row>
    <row r="268" ht="16" customHeight="1">
      <c r="A268" s="2" t="inlineStr">
        <is>
          <t>3705</t>
        </is>
      </c>
      <c r="B268" s="2" t="inlineStr">
        <is>
          <t>永信</t>
        </is>
      </c>
      <c r="C268" s="2" t="inlineStr">
        <is>
          <t>生技</t>
        </is>
      </c>
      <c r="D268" s="3" t="n">
        <v>44.23</v>
      </c>
      <c r="E268" s="3" t="n">
        <v>16.16</v>
      </c>
      <c r="F268" s="3" t="n">
        <v>13.76</v>
      </c>
      <c r="G268" s="3" t="n">
        <v>44.62</v>
      </c>
      <c r="H268" s="3" t="n">
        <v>14.59</v>
      </c>
      <c r="I268" s="3" t="n">
        <v>11.31</v>
      </c>
      <c r="J268" s="4">
        <f>IF(OR(D268="",G268=""),"",G268-D268)</f>
        <v/>
      </c>
      <c r="K268" s="4">
        <f>IF(OR(E268="",H268=""),"",H268-E268)</f>
        <v/>
      </c>
      <c r="L268" s="4">
        <f>IF(OR(F268="",I268=""),"",I268-F268)</f>
        <v/>
      </c>
      <c r="M268" s="3" t="n">
        <v>0.89</v>
      </c>
      <c r="N268" s="3" t="n">
        <v>1.63</v>
      </c>
      <c r="O268" s="3" t="n">
        <v>0.74</v>
      </c>
      <c r="P268" s="3" t="n">
        <v>15.93</v>
      </c>
      <c r="Q268" s="3" t="n">
        <v>59.7</v>
      </c>
      <c r="R268" s="3" t="n">
        <v>3</v>
      </c>
      <c r="S268" s="3">
        <f>IF(OR(Q268="",R268="",Q268=0),"",R268/Q268*100)</f>
        <v/>
      </c>
    </row>
    <row r="269" ht="16" customHeight="1">
      <c r="A269" s="2" t="inlineStr">
        <is>
          <t>3706</t>
        </is>
      </c>
      <c r="B269" s="2" t="inlineStr">
        <is>
          <t>神達</t>
        </is>
      </c>
      <c r="C269" s="2" t="inlineStr">
        <is>
          <t>電子工業</t>
        </is>
      </c>
      <c r="D269" s="3" t="n">
        <v>9.210000000000001</v>
      </c>
      <c r="E269" s="3" t="n">
        <v>3.72</v>
      </c>
      <c r="F269" s="3" t="n">
        <v>4.82</v>
      </c>
      <c r="G269" s="3" t="n">
        <v>9.140000000000001</v>
      </c>
      <c r="H269" s="3" t="n">
        <v>4.14</v>
      </c>
      <c r="I269" s="3" t="n">
        <v>4.98</v>
      </c>
      <c r="J269" s="4">
        <f>IF(OR(D269="",G269=""),"",G269-D269)</f>
        <v/>
      </c>
      <c r="K269" s="4">
        <f>IF(OR(E269="",H269=""),"",H269-E269)</f>
        <v/>
      </c>
      <c r="L269" s="4">
        <f>IF(OR(F269="",I269=""),"",I269-F269)</f>
        <v/>
      </c>
      <c r="M269" s="3" t="n">
        <v>1.1</v>
      </c>
      <c r="N269" s="3" t="n">
        <v>2.56</v>
      </c>
      <c r="O269" s="3" t="n">
        <v>1.46</v>
      </c>
      <c r="P269" s="3" t="n">
        <v>16.55</v>
      </c>
      <c r="Q269" s="3" t="n">
        <v>76.8</v>
      </c>
      <c r="R269" s="3" t="n"/>
      <c r="S269" s="3">
        <f>IF(OR(Q269="",R269="",Q269=0),"",R269/Q269*100)</f>
        <v/>
      </c>
    </row>
    <row r="270" ht="16" customHeight="1">
      <c r="A270" s="2" t="inlineStr">
        <is>
          <t>3707</t>
        </is>
      </c>
      <c r="B270" s="2" t="inlineStr">
        <is>
          <t>漢磊</t>
        </is>
      </c>
      <c r="C270" s="2" t="inlineStr">
        <is>
          <t>半導體業</t>
        </is>
      </c>
      <c r="D270" s="3" t="n">
        <v>5.06</v>
      </c>
      <c r="E270" s="3" t="n">
        <v>-6.01</v>
      </c>
      <c r="F270" s="3" t="n">
        <v>-6.2</v>
      </c>
      <c r="G270" s="3" t="n">
        <v>11.29</v>
      </c>
      <c r="H270" s="3" t="n">
        <v>1.09</v>
      </c>
      <c r="I270" s="3" t="n">
        <v>-0.41</v>
      </c>
      <c r="J270" s="4">
        <f>IF(OR(D270="",G270=""),"",G270-D270)</f>
        <v/>
      </c>
      <c r="K270" s="4">
        <f>IF(OR(E270="",H270=""),"",H270-E270)</f>
        <v/>
      </c>
      <c r="L270" s="4">
        <f>IF(OR(F270="",I270=""),"",I270-F270)</f>
        <v/>
      </c>
      <c r="M270" s="3" t="n">
        <v>-0.35</v>
      </c>
      <c r="N270" s="3" t="n">
        <v>-0.38</v>
      </c>
      <c r="O270" s="3" t="n">
        <v>-0.03</v>
      </c>
      <c r="P270" s="3" t="n"/>
      <c r="Q270" s="3" t="n">
        <v>65</v>
      </c>
      <c r="R270" s="3" t="n"/>
      <c r="S270" s="3">
        <f>IF(OR(Q270="",R270="",Q270=0),"",R270/Q270*100)</f>
        <v/>
      </c>
    </row>
    <row r="271" ht="16" customHeight="1">
      <c r="A271" s="2" t="inlineStr">
        <is>
          <t>3711</t>
        </is>
      </c>
      <c r="B271" s="2" t="inlineStr">
        <is>
          <t>日月光投控</t>
        </is>
      </c>
      <c r="C271" s="2" t="inlineStr">
        <is>
          <t>半導體業</t>
        </is>
      </c>
      <c r="D271" s="3" t="n">
        <v>20.07</v>
      </c>
      <c r="E271" s="3" t="n">
        <v>10.1</v>
      </c>
      <c r="F271" s="3" t="n">
        <v>8.390000000000001</v>
      </c>
      <c r="G271" s="3" t="n">
        <v>20.99</v>
      </c>
      <c r="H271" s="3" t="n">
        <v>11.04</v>
      </c>
      <c r="I271" s="3" t="n">
        <v>11.26</v>
      </c>
      <c r="J271" s="4">
        <f>IF(OR(D271="",G271=""),"",G271-D271)</f>
        <v/>
      </c>
      <c r="K271" s="4">
        <f>IF(OR(E271="",H271=""),"",H271-E271)</f>
        <v/>
      </c>
      <c r="L271" s="4">
        <f>IF(OR(F271="",I271=""),"",I271-F271)</f>
        <v/>
      </c>
      <c r="M271" s="3" t="n">
        <v>3.24</v>
      </c>
      <c r="N271" s="3" t="n">
        <v>8.02</v>
      </c>
      <c r="O271" s="3" t="n">
        <v>4.78</v>
      </c>
      <c r="P271" s="3" t="n">
        <v>44.57</v>
      </c>
      <c r="Q271" s="3" t="n">
        <v>668</v>
      </c>
      <c r="R271" s="3" t="n">
        <v>6.58</v>
      </c>
      <c r="S271" s="3">
        <f>IF(OR(Q271="",R271="",Q271=0),"",R271/Q271*100)</f>
        <v/>
      </c>
    </row>
    <row r="272" ht="16" customHeight="1">
      <c r="A272" s="2" t="inlineStr">
        <is>
          <t>3714</t>
        </is>
      </c>
      <c r="B272" s="2" t="inlineStr">
        <is>
          <t>富采</t>
        </is>
      </c>
      <c r="C272" s="2" t="inlineStr">
        <is>
          <t>光電業</t>
        </is>
      </c>
      <c r="D272" s="3" t="n">
        <v>11.14</v>
      </c>
      <c r="E272" s="3" t="n">
        <v>-5.84</v>
      </c>
      <c r="F272" s="3" t="n">
        <v>-2.63</v>
      </c>
      <c r="G272" s="3" t="n">
        <v>10.85</v>
      </c>
      <c r="H272" s="3" t="n">
        <v>-5.99</v>
      </c>
      <c r="I272" s="3" t="n">
        <v>19.85</v>
      </c>
      <c r="J272" s="4">
        <f>IF(OR(D272="",G272=""),"",G272-D272)</f>
        <v/>
      </c>
      <c r="K272" s="4">
        <f>IF(OR(E272="",H272=""),"",H272-E272)</f>
        <v/>
      </c>
      <c r="L272" s="4">
        <f>IF(OR(F272="",I272=""),"",I272-F272)</f>
        <v/>
      </c>
      <c r="M272" s="3" t="n">
        <v>-0.2</v>
      </c>
      <c r="N272" s="3" t="n">
        <v>1.49</v>
      </c>
      <c r="O272" s="3" t="n">
        <v>1.69</v>
      </c>
      <c r="P272" s="3" t="n"/>
      <c r="Q272" s="3" t="n">
        <v>58.1</v>
      </c>
      <c r="R272" s="3" t="n">
        <v>0.9</v>
      </c>
      <c r="S272" s="3">
        <f>IF(OR(Q272="",R272="",Q272=0),"",R272/Q272*100)</f>
        <v/>
      </c>
    </row>
    <row r="273" ht="16" customHeight="1">
      <c r="A273" s="2" t="inlineStr">
        <is>
          <t>3715</t>
        </is>
      </c>
      <c r="B273" s="2" t="inlineStr">
        <is>
          <t>定穎投控</t>
        </is>
      </c>
      <c r="C273" s="2" t="inlineStr">
        <is>
          <t>電子工業</t>
        </is>
      </c>
      <c r="D273" s="3" t="n">
        <v>16.12</v>
      </c>
      <c r="E273" s="3" t="n">
        <v>2.32</v>
      </c>
      <c r="F273" s="3" t="n">
        <v>-4.49</v>
      </c>
      <c r="G273" s="3" t="n">
        <v>14.02</v>
      </c>
      <c r="H273" s="3" t="n">
        <v>0.99</v>
      </c>
      <c r="I273" s="3" t="n">
        <v>-4.21</v>
      </c>
      <c r="J273" s="4">
        <f>IF(OR(D273="",G273=""),"",G273-D273)</f>
        <v/>
      </c>
      <c r="K273" s="4">
        <f>IF(OR(E273="",H273=""),"",H273-E273)</f>
        <v/>
      </c>
      <c r="L273" s="4">
        <f>IF(OR(F273="",I273=""),"",I273-F273)</f>
        <v/>
      </c>
      <c r="M273" s="3" t="n">
        <v>-0.74</v>
      </c>
      <c r="N273" s="3" t="n">
        <v>-1.55</v>
      </c>
      <c r="O273" s="3" t="n">
        <v>-0.8100000000000001</v>
      </c>
      <c r="P273" s="3" t="n"/>
      <c r="Q273" s="3" t="n">
        <v>120</v>
      </c>
      <c r="R273" s="3" t="n">
        <v>1.08</v>
      </c>
      <c r="S273" s="3">
        <f>IF(OR(Q273="",R273="",Q273=0),"",R273/Q273*100)</f>
        <v/>
      </c>
    </row>
    <row r="274" ht="16" customHeight="1">
      <c r="A274" s="2" t="inlineStr">
        <is>
          <t>4105</t>
        </is>
      </c>
      <c r="B274" s="2" t="inlineStr">
        <is>
          <t>東洋</t>
        </is>
      </c>
      <c r="C274" s="2" t="inlineStr">
        <is>
          <t>生技醫療業</t>
        </is>
      </c>
      <c r="D274" s="3" t="n">
        <v>59.99</v>
      </c>
      <c r="E274" s="3" t="n">
        <v>32.19</v>
      </c>
      <c r="F274" s="3" t="n">
        <v>30.46</v>
      </c>
      <c r="G274" s="3" t="n">
        <v>58.68</v>
      </c>
      <c r="H274" s="3" t="n">
        <v>29.48</v>
      </c>
      <c r="I274" s="3" t="n">
        <v>26.31</v>
      </c>
      <c r="J274" s="4">
        <f>IF(OR(D274="",G274=""),"",G274-D274)</f>
        <v/>
      </c>
      <c r="K274" s="4">
        <f>IF(OR(E274="",H274=""),"",H274-E274)</f>
        <v/>
      </c>
      <c r="L274" s="4">
        <f>IF(OR(F274="",I274=""),"",I274-F274)</f>
        <v/>
      </c>
      <c r="M274" s="3" t="n">
        <v>1.78</v>
      </c>
      <c r="N274" s="3" t="n">
        <v>3.45</v>
      </c>
      <c r="O274" s="3" t="n">
        <v>1.67</v>
      </c>
      <c r="P274" s="3" t="n">
        <v>10.92</v>
      </c>
      <c r="Q274" s="3" t="n">
        <v>79.90000000000001</v>
      </c>
      <c r="R274" s="3" t="n">
        <v>4.5</v>
      </c>
      <c r="S274" s="3">
        <f>IF(OR(Q274="",R274="",Q274=0),"",R274/Q274*100)</f>
        <v/>
      </c>
    </row>
    <row r="275" ht="16" customHeight="1">
      <c r="A275" s="2" t="inlineStr">
        <is>
          <t>4114</t>
        </is>
      </c>
      <c r="B275" s="2" t="inlineStr">
        <is>
          <t>健喬</t>
        </is>
      </c>
      <c r="C275" s="2" t="inlineStr"/>
      <c r="D275" s="3" t="n">
        <v>42.33</v>
      </c>
      <c r="E275" s="3" t="n">
        <v>11.26</v>
      </c>
      <c r="F275" s="3" t="n">
        <v>8.300000000000001</v>
      </c>
      <c r="G275" s="3" t="n">
        <v>38.75</v>
      </c>
      <c r="H275" s="3" t="n">
        <v>11.64</v>
      </c>
      <c r="I275" s="3" t="n">
        <v>9.65</v>
      </c>
      <c r="J275" s="4">
        <f>IF(OR(D275="",G275=""),"",G275-D275)</f>
        <v/>
      </c>
      <c r="K275" s="4">
        <f>IF(OR(E275="",H275=""),"",H275-E275)</f>
        <v/>
      </c>
      <c r="L275" s="4">
        <f>IF(OR(F275="",I275=""),"",I275-F275)</f>
        <v/>
      </c>
      <c r="M275" s="3" t="n">
        <v>0.38</v>
      </c>
      <c r="N275" s="3" t="n">
        <v>0.9</v>
      </c>
      <c r="O275" s="3" t="n">
        <v>0.52</v>
      </c>
      <c r="P275" s="3" t="n">
        <v>18.4</v>
      </c>
      <c r="Q275" s="3" t="n">
        <v>28.8</v>
      </c>
      <c r="R275" s="3" t="n">
        <v>0.85</v>
      </c>
      <c r="S275" s="3">
        <f>IF(OR(Q275="",R275="",Q275=0),"",R275/Q275*100)</f>
        <v/>
      </c>
    </row>
    <row r="276" ht="16" customHeight="1">
      <c r="A276" s="2" t="inlineStr">
        <is>
          <t>4123</t>
        </is>
      </c>
      <c r="B276" s="2" t="inlineStr">
        <is>
          <t>晟德</t>
        </is>
      </c>
      <c r="C276" s="2" t="inlineStr">
        <is>
          <t>生技醫療業</t>
        </is>
      </c>
      <c r="D276" s="3" t="n">
        <v>46.58</v>
      </c>
      <c r="E276" s="3" t="n">
        <v>-4.11</v>
      </c>
      <c r="F276" s="3" t="n">
        <v>421.81</v>
      </c>
      <c r="G276" s="3" t="n">
        <v>43.65</v>
      </c>
      <c r="H276" s="3" t="n">
        <v>112.47</v>
      </c>
      <c r="I276" s="3" t="n">
        <v>-2417.86</v>
      </c>
      <c r="J276" s="4">
        <f>IF(OR(D276="",G276=""),"",G276-D276)</f>
        <v/>
      </c>
      <c r="K276" s="4">
        <f>IF(OR(E276="",H276=""),"",H276-E276)</f>
        <v/>
      </c>
      <c r="L276" s="4">
        <f>IF(OR(F276="",I276=""),"",I276-F276)</f>
        <v/>
      </c>
      <c r="M276" s="3" t="n">
        <v>2.62</v>
      </c>
      <c r="N276" s="3" t="n">
        <v>-11.31</v>
      </c>
      <c r="O276" s="3" t="n">
        <v>-13.93</v>
      </c>
      <c r="P276" s="3" t="n">
        <v>25.79</v>
      </c>
      <c r="Q276" s="3" t="n">
        <v>28.55</v>
      </c>
      <c r="R276" s="3" t="n">
        <v>1.747</v>
      </c>
      <c r="S276" s="3">
        <f>IF(OR(Q276="",R276="",Q276=0),"",R276/Q276*100)</f>
        <v/>
      </c>
    </row>
    <row r="277" ht="16" customHeight="1">
      <c r="A277" s="2" t="inlineStr">
        <is>
          <t>4147</t>
        </is>
      </c>
      <c r="B277" s="2" t="inlineStr">
        <is>
          <t>中裕</t>
        </is>
      </c>
      <c r="C277" s="2" t="inlineStr">
        <is>
          <t>生技醫療業</t>
        </is>
      </c>
      <c r="D277" s="3" t="n">
        <v>62.5</v>
      </c>
      <c r="E277" s="3" t="n">
        <v>1.36</v>
      </c>
      <c r="F277" s="3" t="n">
        <v>9.85</v>
      </c>
      <c r="G277" s="3" t="n">
        <v>50.71</v>
      </c>
      <c r="H277" s="3" t="n">
        <v>-47.91</v>
      </c>
      <c r="I277" s="3" t="n">
        <v>-46.66</v>
      </c>
      <c r="J277" s="4">
        <f>IF(OR(D277="",G277=""),"",G277-D277)</f>
        <v/>
      </c>
      <c r="K277" s="4">
        <f>IF(OR(E277="",H277=""),"",H277-E277)</f>
        <v/>
      </c>
      <c r="L277" s="4">
        <f>IF(OR(F277="",I277=""),"",I277-F277)</f>
        <v/>
      </c>
      <c r="M277" s="3" t="n">
        <v>0.06</v>
      </c>
      <c r="N277" s="3" t="n">
        <v>-0.21</v>
      </c>
      <c r="O277" s="3" t="n">
        <v>-0.27</v>
      </c>
      <c r="P277" s="3" t="n"/>
      <c r="Q277" s="3" t="n">
        <v>57.4</v>
      </c>
      <c r="R277" s="3" t="n"/>
      <c r="S277" s="3">
        <f>IF(OR(Q277="",R277="",Q277=0),"",R277/Q277*100)</f>
        <v/>
      </c>
    </row>
    <row r="278" ht="16" customHeight="1">
      <c r="A278" s="2" t="inlineStr">
        <is>
          <t>4506</t>
        </is>
      </c>
      <c r="B278" s="2" t="inlineStr">
        <is>
          <t>崇友</t>
        </is>
      </c>
      <c r="C278" s="2" t="inlineStr">
        <is>
          <t>電機機械</t>
        </is>
      </c>
      <c r="D278" s="3" t="n">
        <v>33.53</v>
      </c>
      <c r="E278" s="3" t="n">
        <v>23.8</v>
      </c>
      <c r="F278" s="3" t="n">
        <v>20.54</v>
      </c>
      <c r="G278" s="3" t="n">
        <v>34.16</v>
      </c>
      <c r="H278" s="3" t="n">
        <v>23.28</v>
      </c>
      <c r="I278" s="3" t="n">
        <v>26.32</v>
      </c>
      <c r="J278" s="4">
        <f>IF(OR(D278="",G278=""),"",G278-D278)</f>
        <v/>
      </c>
      <c r="K278" s="4">
        <f>IF(OR(E278="",H278=""),"",H278-E278)</f>
        <v/>
      </c>
      <c r="L278" s="4">
        <f>IF(OR(F278="",I278=""),"",I278-F278)</f>
        <v/>
      </c>
      <c r="M278" s="3" t="n">
        <v>2.11</v>
      </c>
      <c r="N278" s="3" t="n">
        <v>4.45</v>
      </c>
      <c r="O278" s="3" t="n">
        <v>2.34</v>
      </c>
      <c r="P278" s="3" t="n">
        <v>15.89</v>
      </c>
      <c r="Q278" s="3" t="n">
        <v>117</v>
      </c>
      <c r="R278" s="3" t="n">
        <v>5.3</v>
      </c>
      <c r="S278" s="3">
        <f>IF(OR(Q278="",R278="",Q278=0),"",R278/Q278*100)</f>
        <v/>
      </c>
    </row>
    <row r="279" ht="16" customHeight="1">
      <c r="A279" s="2" t="inlineStr">
        <is>
          <t>4536</t>
        </is>
      </c>
      <c r="B279" s="2" t="inlineStr">
        <is>
          <t>拓凱</t>
        </is>
      </c>
      <c r="C279" s="2" t="inlineStr">
        <is>
          <t>運動休閒</t>
        </is>
      </c>
      <c r="D279" s="3" t="n">
        <v>34.31</v>
      </c>
      <c r="E279" s="3" t="n">
        <v>17.11</v>
      </c>
      <c r="F279" s="3" t="n">
        <v>15.77</v>
      </c>
      <c r="G279" s="3" t="n">
        <v>31.28</v>
      </c>
      <c r="H279" s="3" t="n">
        <v>15.43</v>
      </c>
      <c r="I279" s="3" t="n">
        <v>10.79</v>
      </c>
      <c r="J279" s="4">
        <f>IF(OR(D279="",G279=""),"",G279-D279)</f>
        <v/>
      </c>
      <c r="K279" s="4">
        <f>IF(OR(E279="",H279=""),"",H279-E279)</f>
        <v/>
      </c>
      <c r="L279" s="4">
        <f>IF(OR(F279="",I279=""),"",I279-F279)</f>
        <v/>
      </c>
      <c r="M279" s="3" t="n">
        <v>3.61</v>
      </c>
      <c r="N279" s="3" t="n">
        <v>6.55</v>
      </c>
      <c r="O279" s="3" t="n">
        <v>2.94</v>
      </c>
      <c r="P279" s="3" t="n">
        <v>12.98</v>
      </c>
      <c r="Q279" s="3" t="n">
        <v>151.5</v>
      </c>
      <c r="R279" s="3" t="n">
        <v>8</v>
      </c>
      <c r="S279" s="3">
        <f>IF(OR(Q279="",R279="",Q279=0),"",R279/Q279*100)</f>
        <v/>
      </c>
    </row>
    <row r="280" ht="16" customHeight="1">
      <c r="A280" s="2" t="inlineStr">
        <is>
          <t>4551</t>
        </is>
      </c>
      <c r="B280" s="2" t="inlineStr">
        <is>
          <t>智伸科</t>
        </is>
      </c>
      <c r="C280" s="2" t="inlineStr">
        <is>
          <t>汽車</t>
        </is>
      </c>
      <c r="D280" s="3" t="n">
        <v>23.48</v>
      </c>
      <c r="E280" s="3" t="n">
        <v>15.27</v>
      </c>
      <c r="F280" s="3" t="n">
        <v>13.67</v>
      </c>
      <c r="G280" s="3" t="n">
        <v>24.58</v>
      </c>
      <c r="H280" s="3" t="n">
        <v>13.53</v>
      </c>
      <c r="I280" s="3" t="n">
        <v>10.48</v>
      </c>
      <c r="J280" s="4">
        <f>IF(OR(D280="",G280=""),"",G280-D280)</f>
        <v/>
      </c>
      <c r="K280" s="4">
        <f>IF(OR(E280="",H280=""),"",H280-E280)</f>
        <v/>
      </c>
      <c r="L280" s="4">
        <f>IF(OR(F280="",I280=""),"",I280-F280)</f>
        <v/>
      </c>
      <c r="M280" s="3" t="n">
        <v>2.7</v>
      </c>
      <c r="N280" s="3" t="n">
        <v>4.77</v>
      </c>
      <c r="O280" s="3" t="n">
        <v>2.08</v>
      </c>
      <c r="P280" s="3" t="n">
        <v>18.1</v>
      </c>
      <c r="Q280" s="3" t="n">
        <v>152</v>
      </c>
      <c r="R280" s="3" t="n">
        <v>4.2</v>
      </c>
      <c r="S280" s="3">
        <f>IF(OR(Q280="",R280="",Q280=0),"",R280/Q280*100)</f>
        <v/>
      </c>
    </row>
    <row r="281" ht="16" customHeight="1">
      <c r="A281" s="2" t="inlineStr">
        <is>
          <t>4576</t>
        </is>
      </c>
      <c r="B281" s="2" t="inlineStr">
        <is>
          <t>大銀微系統</t>
        </is>
      </c>
      <c r="C281" s="2" t="inlineStr">
        <is>
          <t>電機機械</t>
        </is>
      </c>
      <c r="D281" s="3" t="n">
        <v>39.01</v>
      </c>
      <c r="E281" s="3" t="n">
        <v>16.65</v>
      </c>
      <c r="F281" s="3" t="n">
        <v>15.31</v>
      </c>
      <c r="G281" s="3" t="n">
        <v>37.1</v>
      </c>
      <c r="H281" s="3" t="n">
        <v>17.93</v>
      </c>
      <c r="I281" s="3" t="n">
        <v>12.09</v>
      </c>
      <c r="J281" s="4">
        <f>IF(OR(D281="",G281=""),"",G281-D281)</f>
        <v/>
      </c>
      <c r="K281" s="4">
        <f>IF(OR(E281="",H281=""),"",H281-E281)</f>
        <v/>
      </c>
      <c r="L281" s="4">
        <f>IF(OR(F281="",I281=""),"",I281-F281)</f>
        <v/>
      </c>
      <c r="M281" s="3" t="n">
        <v>0.96</v>
      </c>
      <c r="N281" s="3" t="n">
        <v>1.92</v>
      </c>
      <c r="O281" s="3" t="n">
        <v>0.96</v>
      </c>
      <c r="P281" s="3" t="n">
        <v>60.42</v>
      </c>
      <c r="Q281" s="3" t="n">
        <v>208.5</v>
      </c>
      <c r="R281" s="3" t="n">
        <v>0.8</v>
      </c>
      <c r="S281" s="3">
        <f>IF(OR(Q281="",R281="",Q281=0),"",R281/Q281*100)</f>
        <v/>
      </c>
    </row>
    <row r="282" ht="16" customHeight="1">
      <c r="A282" s="2" t="inlineStr">
        <is>
          <t>4583</t>
        </is>
      </c>
      <c r="B282" s="2" t="inlineStr">
        <is>
          <t>台灣精銳</t>
        </is>
      </c>
      <c r="C282" s="2" t="inlineStr"/>
      <c r="D282" s="3" t="n">
        <v>53.13</v>
      </c>
      <c r="E282" s="3" t="n">
        <v>35.52</v>
      </c>
      <c r="F282" s="3" t="n">
        <v>33.25</v>
      </c>
      <c r="G282" s="3" t="n">
        <v>51.71</v>
      </c>
      <c r="H282" s="3" t="n">
        <v>33.38</v>
      </c>
      <c r="I282" s="3" t="n">
        <v>28.88</v>
      </c>
      <c r="J282" s="4">
        <f>IF(OR(D282="",G282=""),"",G282-D282)</f>
        <v/>
      </c>
      <c r="K282" s="4">
        <f>IF(OR(E282="",H282=""),"",H282-E282)</f>
        <v/>
      </c>
      <c r="L282" s="4">
        <f>IF(OR(F282="",I282=""),"",I282-F282)</f>
        <v/>
      </c>
      <c r="M282" s="3" t="n">
        <v>3.56</v>
      </c>
      <c r="N282" s="3" t="n">
        <v>6.81</v>
      </c>
      <c r="O282" s="3" t="n">
        <v>3.25</v>
      </c>
      <c r="P282" s="3" t="n">
        <v>35.71</v>
      </c>
      <c r="Q282" s="3" t="n">
        <v>367.5</v>
      </c>
      <c r="R282" s="3" t="n">
        <v>8</v>
      </c>
      <c r="S282" s="3">
        <f>IF(OR(Q282="",R282="",Q282=0),"",R282/Q282*100)</f>
        <v/>
      </c>
    </row>
    <row r="283" ht="16" customHeight="1">
      <c r="A283" s="2" t="inlineStr">
        <is>
          <t>4585</t>
        </is>
      </c>
      <c r="B283" s="2" t="inlineStr">
        <is>
          <t>達明機器人</t>
        </is>
      </c>
      <c r="C283" s="2" t="inlineStr">
        <is>
          <t>其他電子業</t>
        </is>
      </c>
      <c r="D283" s="3" t="n">
        <v>49.88</v>
      </c>
      <c r="E283" s="3" t="n">
        <v>5.4</v>
      </c>
      <c r="F283" s="3" t="n">
        <v>14.02</v>
      </c>
      <c r="G283" s="3" t="n">
        <v>52.28</v>
      </c>
      <c r="H283" s="3" t="n">
        <v>7.95</v>
      </c>
      <c r="I283" s="3" t="n">
        <v>24.1</v>
      </c>
      <c r="J283" s="4">
        <f>IF(OR(D283="",G283=""),"",G283-D283)</f>
        <v/>
      </c>
      <c r="K283" s="4">
        <f>IF(OR(E283="",H283=""),"",H283-E283)</f>
        <v/>
      </c>
      <c r="L283" s="4">
        <f>IF(OR(F283="",I283=""),"",I283-F283)</f>
        <v/>
      </c>
      <c r="M283" s="3" t="n">
        <v>0.65</v>
      </c>
      <c r="N283" s="3" t="n">
        <v>1.83</v>
      </c>
      <c r="O283" s="3" t="n">
        <v>1.18</v>
      </c>
      <c r="P283" s="3" t="n">
        <v>105.22</v>
      </c>
      <c r="Q283" s="3" t="n">
        <v>242</v>
      </c>
      <c r="R283" s="3" t="n">
        <v>1</v>
      </c>
      <c r="S283" s="3">
        <f>IF(OR(Q283="",R283="",Q283=0),"",R283/Q283*100)</f>
        <v/>
      </c>
    </row>
    <row r="284" ht="16" customHeight="1">
      <c r="A284" s="2" t="inlineStr">
        <is>
          <t>4707</t>
        </is>
      </c>
      <c r="B284" s="2" t="inlineStr">
        <is>
          <t>磐亞</t>
        </is>
      </c>
      <c r="C284" s="2" t="inlineStr">
        <is>
          <t>化學工業</t>
        </is>
      </c>
      <c r="D284" s="3" t="n">
        <v>-4.03</v>
      </c>
      <c r="E284" s="3" t="n">
        <v>-10.67</v>
      </c>
      <c r="F284" s="3" t="n">
        <v>34.12</v>
      </c>
      <c r="G284" s="3" t="n">
        <v>11.46</v>
      </c>
      <c r="H284" s="3" t="n">
        <v>2.43</v>
      </c>
      <c r="I284" s="3" t="n">
        <v>56.06</v>
      </c>
      <c r="J284" s="4">
        <f>IF(OR(D284="",G284=""),"",G284-D284)</f>
        <v/>
      </c>
      <c r="K284" s="4">
        <f>IF(OR(E284="",H284=""),"",H284-E284)</f>
        <v/>
      </c>
      <c r="L284" s="4">
        <f>IF(OR(F284="",I284=""),"",I284-F284)</f>
        <v/>
      </c>
      <c r="M284" s="3" t="n">
        <v>0.26</v>
      </c>
      <c r="N284" s="3" t="n">
        <v>0.7</v>
      </c>
      <c r="O284" s="3" t="n">
        <v>0.44</v>
      </c>
      <c r="P284" s="3" t="n">
        <v>25.23</v>
      </c>
      <c r="Q284" s="3" t="n">
        <v>28.35</v>
      </c>
      <c r="R284" s="3" t="n">
        <v>0.5</v>
      </c>
      <c r="S284" s="3">
        <f>IF(OR(Q284="",R284="",Q284=0),"",R284/Q284*100)</f>
        <v/>
      </c>
    </row>
    <row r="285" ht="16" customHeight="1">
      <c r="A285" s="2" t="inlineStr">
        <is>
          <t>4722</t>
        </is>
      </c>
      <c r="B285" s="2" t="inlineStr">
        <is>
          <t>國精化</t>
        </is>
      </c>
      <c r="C285" s="2" t="inlineStr">
        <is>
          <t>化學工業</t>
        </is>
      </c>
      <c r="D285" s="3" t="n">
        <v>14.15</v>
      </c>
      <c r="E285" s="3" t="n">
        <v>3.1</v>
      </c>
      <c r="F285" s="3" t="n">
        <v>2.5</v>
      </c>
      <c r="G285" s="3" t="n">
        <v>21.7</v>
      </c>
      <c r="H285" s="3" t="n">
        <v>12.11</v>
      </c>
      <c r="I285" s="3" t="n">
        <v>10.55</v>
      </c>
      <c r="J285" s="4">
        <f>IF(OR(D285="",G285=""),"",G285-D285)</f>
        <v/>
      </c>
      <c r="K285" s="4">
        <f>IF(OR(E285="",H285=""),"",H285-E285)</f>
        <v/>
      </c>
      <c r="L285" s="4">
        <f>IF(OR(F285="",I285=""),"",I285-F285)</f>
        <v/>
      </c>
      <c r="M285" s="3" t="n">
        <v>0.22</v>
      </c>
      <c r="N285" s="3" t="n">
        <v>1.29</v>
      </c>
      <c r="O285" s="3" t="n">
        <v>1.07</v>
      </c>
      <c r="P285" s="3" t="n">
        <v>110.95</v>
      </c>
      <c r="Q285" s="3" t="n">
        <v>169</v>
      </c>
      <c r="R285" s="3" t="n">
        <v>1.18</v>
      </c>
      <c r="S285" s="3">
        <f>IF(OR(Q285="",R285="",Q285=0),"",R285/Q285*100)</f>
        <v/>
      </c>
    </row>
    <row r="286" ht="16" customHeight="1">
      <c r="A286" s="2" t="inlineStr">
        <is>
          <t>4728</t>
        </is>
      </c>
      <c r="B286" s="2" t="inlineStr">
        <is>
          <t>雙美</t>
        </is>
      </c>
      <c r="C286" s="2" t="inlineStr">
        <is>
          <t>生技醫療業</t>
        </is>
      </c>
      <c r="D286" s="3" t="n">
        <v>78.91</v>
      </c>
      <c r="E286" s="3" t="n">
        <v>51.77</v>
      </c>
      <c r="F286" s="3" t="n">
        <v>39.23</v>
      </c>
      <c r="G286" s="3" t="n">
        <v>81.87</v>
      </c>
      <c r="H286" s="3" t="n">
        <v>53.26</v>
      </c>
      <c r="I286" s="3" t="n">
        <v>39.21</v>
      </c>
      <c r="J286" s="4">
        <f>IF(OR(D286="",G286=""),"",G286-D286)</f>
        <v/>
      </c>
      <c r="K286" s="4">
        <f>IF(OR(E286="",H286=""),"",H286-E286)</f>
        <v/>
      </c>
      <c r="L286" s="4">
        <f>IF(OR(F286="",I286=""),"",I286-F286)</f>
        <v/>
      </c>
      <c r="M286" s="3" t="n">
        <v>4.07</v>
      </c>
      <c r="N286" s="3" t="n">
        <v>8.52</v>
      </c>
      <c r="O286" s="3" t="n">
        <v>4.45</v>
      </c>
      <c r="P286" s="3" t="n">
        <v>25.87</v>
      </c>
      <c r="Q286" s="3" t="n">
        <v>387</v>
      </c>
      <c r="R286" s="3" t="n">
        <v>12.1</v>
      </c>
      <c r="S286" s="3">
        <f>IF(OR(Q286="",R286="",Q286=0),"",R286/Q286*100)</f>
        <v/>
      </c>
    </row>
    <row r="287" ht="16" customHeight="1">
      <c r="A287" s="2" t="inlineStr">
        <is>
          <t>4743</t>
        </is>
      </c>
      <c r="B287" s="2" t="inlineStr">
        <is>
          <t>合一</t>
        </is>
      </c>
      <c r="C287" s="2" t="inlineStr">
        <is>
          <t>生技醫療業</t>
        </is>
      </c>
      <c r="D287" s="3" t="n">
        <v>18.79</v>
      </c>
      <c r="E287" s="3" t="n">
        <v>-524.48</v>
      </c>
      <c r="F287" s="3" t="n">
        <v>-409.32</v>
      </c>
      <c r="G287" s="3" t="n">
        <v>63.31</v>
      </c>
      <c r="H287" s="3" t="n">
        <v>-514.88</v>
      </c>
      <c r="I287" s="3" t="n">
        <v>622.72</v>
      </c>
      <c r="J287" s="4">
        <f>IF(OR(D287="",G287=""),"",G287-D287)</f>
        <v/>
      </c>
      <c r="K287" s="4">
        <f>IF(OR(E287="",H287=""),"",H287-E287)</f>
        <v/>
      </c>
      <c r="L287" s="4">
        <f>IF(OR(F287="",I287=""),"",I287-F287)</f>
        <v/>
      </c>
      <c r="M287" s="3" t="n">
        <v>-0.31</v>
      </c>
      <c r="N287" s="3" t="n">
        <v>0.2</v>
      </c>
      <c r="O287" s="3" t="n">
        <v>0.51</v>
      </c>
      <c r="P287" s="3" t="n">
        <v>357.69</v>
      </c>
      <c r="Q287" s="3" t="n">
        <v>45.8</v>
      </c>
      <c r="R287" s="3" t="n"/>
      <c r="S287" s="3">
        <f>IF(OR(Q287="",R287="",Q287=0),"",R287/Q287*100)</f>
        <v/>
      </c>
    </row>
    <row r="288" ht="16" customHeight="1">
      <c r="A288" s="2" t="inlineStr">
        <is>
          <t>4749</t>
        </is>
      </c>
      <c r="B288" s="2" t="inlineStr">
        <is>
          <t>新應材</t>
        </is>
      </c>
      <c r="C288" s="2" t="inlineStr">
        <is>
          <t>光電業</t>
        </is>
      </c>
      <c r="D288" s="3" t="n">
        <v>45.41</v>
      </c>
      <c r="E288" s="3" t="n">
        <v>27.07</v>
      </c>
      <c r="F288" s="3" t="n">
        <v>27.2</v>
      </c>
      <c r="G288" s="3" t="n">
        <v>44.53</v>
      </c>
      <c r="H288" s="3" t="n">
        <v>23.19</v>
      </c>
      <c r="I288" s="3" t="n">
        <v>24.65</v>
      </c>
      <c r="J288" s="4">
        <f>IF(OR(D288="",G288=""),"",G288-D288)</f>
        <v/>
      </c>
      <c r="K288" s="4">
        <f>IF(OR(E288="",H288=""),"",H288-E288)</f>
        <v/>
      </c>
      <c r="L288" s="4">
        <f>IF(OR(F288="",I288=""),"",I288-F288)</f>
        <v/>
      </c>
      <c r="M288" s="3" t="n">
        <v>3.66</v>
      </c>
      <c r="N288" s="3" t="n">
        <v>6.94</v>
      </c>
      <c r="O288" s="3" t="n">
        <v>3.28</v>
      </c>
      <c r="P288" s="3" t="n">
        <v>61.06</v>
      </c>
      <c r="Q288" s="3" t="n">
        <v>678</v>
      </c>
      <c r="R288" s="3" t="n">
        <v>8</v>
      </c>
      <c r="S288" s="3">
        <f>IF(OR(Q288="",R288="",Q288=0),"",R288/Q288*100)</f>
        <v/>
      </c>
    </row>
    <row r="289" ht="16" customHeight="1">
      <c r="A289" s="2" t="inlineStr">
        <is>
          <t>4763</t>
        </is>
      </c>
      <c r="B289" s="2" t="inlineStr">
        <is>
          <t>材料-KY</t>
        </is>
      </c>
      <c r="C289" s="2" t="inlineStr">
        <is>
          <t>化學工業</t>
        </is>
      </c>
      <c r="D289" s="3" t="n">
        <v>55.58</v>
      </c>
      <c r="E289" s="3" t="n">
        <v>49.58</v>
      </c>
      <c r="F289" s="3" t="n">
        <v>41.08</v>
      </c>
      <c r="G289" s="3" t="n"/>
      <c r="H289" s="3" t="n"/>
      <c r="I289" s="3" t="n"/>
      <c r="J289" s="4">
        <f>IF(OR(D289="",G289=""),"",G289-D289)</f>
        <v/>
      </c>
      <c r="K289" s="4">
        <f>IF(OR(E289="",H289=""),"",H289-E289)</f>
        <v/>
      </c>
      <c r="L289" s="4">
        <f>IF(OR(F289="",I289=""),"",I289-F289)</f>
        <v/>
      </c>
      <c r="M289" s="3" t="n">
        <v>1.13</v>
      </c>
      <c r="N289" s="3" t="n"/>
      <c r="O289" s="3" t="n"/>
      <c r="P289" s="3" t="n">
        <v>9.960000000000001</v>
      </c>
      <c r="Q289" s="3" t="n">
        <v>44.75</v>
      </c>
      <c r="R289" s="3" t="n"/>
      <c r="S289" s="3">
        <f>IF(OR(Q289="",R289="",Q289=0),"",R289/Q289*100)</f>
        <v/>
      </c>
    </row>
    <row r="290" ht="16" customHeight="1">
      <c r="A290" s="2" t="inlineStr">
        <is>
          <t>4764</t>
        </is>
      </c>
      <c r="B290" s="2" t="inlineStr">
        <is>
          <t>雙鍵</t>
        </is>
      </c>
      <c r="C290" s="2" t="inlineStr">
        <is>
          <t>化學工業</t>
        </is>
      </c>
      <c r="D290" s="3" t="n">
        <v>26.53</v>
      </c>
      <c r="E290" s="3" t="n">
        <v>14.65</v>
      </c>
      <c r="F290" s="3" t="n">
        <v>10.72</v>
      </c>
      <c r="G290" s="3" t="n">
        <v>27.03</v>
      </c>
      <c r="H290" s="3" t="n">
        <v>14.82</v>
      </c>
      <c r="I290" s="3" t="n">
        <v>11.32</v>
      </c>
      <c r="J290" s="4">
        <f>IF(OR(D290="",G290=""),"",G290-D290)</f>
        <v/>
      </c>
      <c r="K290" s="4">
        <f>IF(OR(E290="",H290=""),"",H290-E290)</f>
        <v/>
      </c>
      <c r="L290" s="4">
        <f>IF(OR(F290="",I290=""),"",I290-F290)</f>
        <v/>
      </c>
      <c r="M290" s="3" t="n">
        <v>1.03</v>
      </c>
      <c r="N290" s="3" t="n">
        <v>2.26</v>
      </c>
      <c r="O290" s="3" t="n">
        <v>1.23</v>
      </c>
      <c r="P290" s="3" t="n">
        <v>66.61</v>
      </c>
      <c r="Q290" s="3" t="n">
        <v>146</v>
      </c>
      <c r="R290" s="3" t="n">
        <v>1</v>
      </c>
      <c r="S290" s="3">
        <f>IF(OR(Q290="",R290="",Q290=0),"",R290/Q290*100)</f>
        <v/>
      </c>
    </row>
    <row r="291" ht="16" customHeight="1">
      <c r="A291" s="2" t="inlineStr">
        <is>
          <t>4766</t>
        </is>
      </c>
      <c r="B291" s="2" t="inlineStr">
        <is>
          <t>南寶</t>
        </is>
      </c>
      <c r="C291" s="2" t="inlineStr">
        <is>
          <t>化學工業</t>
        </is>
      </c>
      <c r="D291" s="3" t="n">
        <v>35.11</v>
      </c>
      <c r="E291" s="3" t="n">
        <v>17.63</v>
      </c>
      <c r="F291" s="3" t="n">
        <v>14.45</v>
      </c>
      <c r="G291" s="3" t="n">
        <v>32.5</v>
      </c>
      <c r="H291" s="3" t="n">
        <v>15.85</v>
      </c>
      <c r="I291" s="3" t="n">
        <v>14.29</v>
      </c>
      <c r="J291" s="4">
        <f>IF(OR(D291="",G291=""),"",G291-D291)</f>
        <v/>
      </c>
      <c r="K291" s="4">
        <f>IF(OR(E291="",H291=""),"",H291-E291)</f>
        <v/>
      </c>
      <c r="L291" s="4">
        <f>IF(OR(F291="",I291=""),"",I291-F291)</f>
        <v/>
      </c>
      <c r="M291" s="3" t="n">
        <v>6.55</v>
      </c>
      <c r="N291" s="3" t="n">
        <v>13.82</v>
      </c>
      <c r="O291" s="3" t="n">
        <v>7.27</v>
      </c>
      <c r="P291" s="3" t="n">
        <v>15.04</v>
      </c>
      <c r="Q291" s="3" t="n">
        <v>352</v>
      </c>
      <c r="R291" s="3" t="n">
        <v>18</v>
      </c>
      <c r="S291" s="3">
        <f>IF(OR(Q291="",R291="",Q291=0),"",R291/Q291*100)</f>
        <v/>
      </c>
    </row>
    <row r="292" ht="16" customHeight="1">
      <c r="A292" s="2" t="inlineStr">
        <is>
          <t>4768</t>
        </is>
      </c>
      <c r="B292" s="2" t="inlineStr">
        <is>
          <t>晶呈科技</t>
        </is>
      </c>
      <c r="C292" s="2" t="inlineStr">
        <is>
          <t>化學工業</t>
        </is>
      </c>
      <c r="D292" s="3" t="n">
        <v>13.39</v>
      </c>
      <c r="E292" s="3" t="n">
        <v>-4.16</v>
      </c>
      <c r="F292" s="3" t="n">
        <v>-7.29</v>
      </c>
      <c r="G292" s="3" t="n">
        <v>24.43</v>
      </c>
      <c r="H292" s="3" t="n">
        <v>-1.12</v>
      </c>
      <c r="I292" s="3" t="n">
        <v>-5.05</v>
      </c>
      <c r="J292" s="4">
        <f>IF(OR(D292="",G292=""),"",G292-D292)</f>
        <v/>
      </c>
      <c r="K292" s="4">
        <f>IF(OR(E292="",H292=""),"",H292-E292)</f>
        <v/>
      </c>
      <c r="L292" s="4">
        <f>IF(OR(F292="",I292=""),"",I292-F292)</f>
        <v/>
      </c>
      <c r="M292" s="3" t="n">
        <v>-0.58</v>
      </c>
      <c r="N292" s="3" t="n">
        <v>-0.93</v>
      </c>
      <c r="O292" s="3" t="n">
        <v>-0.35</v>
      </c>
      <c r="P292" s="3" t="n"/>
      <c r="Q292" s="3" t="n">
        <v>310</v>
      </c>
      <c r="R292" s="3" t="n">
        <v>0.22</v>
      </c>
      <c r="S292" s="3">
        <f>IF(OR(Q292="",R292="",Q292=0),"",R292/Q292*100)</f>
        <v/>
      </c>
    </row>
    <row r="293" ht="16" customHeight="1">
      <c r="A293" s="2" t="inlineStr">
        <is>
          <t>4770</t>
        </is>
      </c>
      <c r="B293" s="2" t="inlineStr">
        <is>
          <t>上品</t>
        </is>
      </c>
      <c r="C293" s="2" t="inlineStr">
        <is>
          <t>化學工業</t>
        </is>
      </c>
      <c r="D293" s="3" t="n">
        <v>34.94</v>
      </c>
      <c r="E293" s="3" t="n">
        <v>19.88</v>
      </c>
      <c r="F293" s="3" t="n">
        <v>19.05</v>
      </c>
      <c r="G293" s="3" t="n">
        <v>35.62</v>
      </c>
      <c r="H293" s="3" t="n">
        <v>22.97</v>
      </c>
      <c r="I293" s="3" t="n">
        <v>19.08</v>
      </c>
      <c r="J293" s="4">
        <f>IF(OR(D293="",G293=""),"",G293-D293)</f>
        <v/>
      </c>
      <c r="K293" s="4">
        <f>IF(OR(E293="",H293=""),"",H293-E293)</f>
        <v/>
      </c>
      <c r="L293" s="4">
        <f>IF(OR(F293="",I293=""),"",I293-F293)</f>
        <v/>
      </c>
      <c r="M293" s="3" t="n">
        <v>2.52</v>
      </c>
      <c r="N293" s="3" t="n">
        <v>5.63</v>
      </c>
      <c r="O293" s="3" t="n">
        <v>3.11</v>
      </c>
      <c r="P293" s="3" t="n">
        <v>20.23</v>
      </c>
      <c r="Q293" s="3" t="n">
        <v>290</v>
      </c>
      <c r="R293" s="3" t="n">
        <v>6</v>
      </c>
      <c r="S293" s="3">
        <f>IF(OR(Q293="",R293="",Q293=0),"",R293/Q293*100)</f>
        <v/>
      </c>
    </row>
    <row r="294" ht="16" customHeight="1">
      <c r="A294" s="2" t="inlineStr">
        <is>
          <t>4772</t>
        </is>
      </c>
      <c r="B294" s="2" t="inlineStr">
        <is>
          <t>台特化</t>
        </is>
      </c>
      <c r="C294" s="2" t="inlineStr">
        <is>
          <t>化學工業</t>
        </is>
      </c>
      <c r="D294" s="3" t="n">
        <v>50.96</v>
      </c>
      <c r="E294" s="3" t="n">
        <v>40.24</v>
      </c>
      <c r="F294" s="3" t="n">
        <v>31.13</v>
      </c>
      <c r="G294" s="3" t="n">
        <v>51.9</v>
      </c>
      <c r="H294" s="3" t="n">
        <v>41.14</v>
      </c>
      <c r="I294" s="3" t="n">
        <v>32.42</v>
      </c>
      <c r="J294" s="4">
        <f>IF(OR(D294="",G294=""),"",G294-D294)</f>
        <v/>
      </c>
      <c r="K294" s="4">
        <f>IF(OR(E294="",H294=""),"",H294-E294)</f>
        <v/>
      </c>
      <c r="L294" s="4">
        <f>IF(OR(F294="",I294=""),"",I294-F294)</f>
        <v/>
      </c>
      <c r="M294" s="3" t="n">
        <v>1.33</v>
      </c>
      <c r="N294" s="3" t="n">
        <v>2.77</v>
      </c>
      <c r="O294" s="3" t="n">
        <v>1.44</v>
      </c>
      <c r="P294" s="3" t="n">
        <v>45.85</v>
      </c>
      <c r="Q294" s="3" t="n">
        <v>231.5</v>
      </c>
      <c r="R294" s="3" t="n">
        <v>3</v>
      </c>
      <c r="S294" s="3">
        <f>IF(OR(Q294="",R294="",Q294=0),"",R294/Q294*100)</f>
        <v/>
      </c>
    </row>
    <row r="295" ht="16" customHeight="1">
      <c r="A295" s="2" t="inlineStr">
        <is>
          <t>4904</t>
        </is>
      </c>
      <c r="B295" s="2" t="inlineStr">
        <is>
          <t>遠傳</t>
        </is>
      </c>
      <c r="C295" s="2" t="inlineStr">
        <is>
          <t>通信網路業</t>
        </is>
      </c>
      <c r="D295" s="3" t="n">
        <v>33.02</v>
      </c>
      <c r="E295" s="3" t="n">
        <v>17.63</v>
      </c>
      <c r="F295" s="3" t="n">
        <v>13.57</v>
      </c>
      <c r="G295" s="3" t="n">
        <v>31.7</v>
      </c>
      <c r="H295" s="3" t="n">
        <v>17.52</v>
      </c>
      <c r="I295" s="3" t="n">
        <v>14.39</v>
      </c>
      <c r="J295" s="4">
        <f>IF(OR(D295="",G295=""),"",G295-D295)</f>
        <v/>
      </c>
      <c r="K295" s="4">
        <f>IF(OR(E295="",H295=""),"",H295-E295)</f>
        <v/>
      </c>
      <c r="L295" s="4">
        <f>IF(OR(F295="",I295=""),"",I295-F295)</f>
        <v/>
      </c>
      <c r="M295" s="3" t="n">
        <v>1.03</v>
      </c>
      <c r="N295" s="3" t="n">
        <v>2.16</v>
      </c>
      <c r="O295" s="3" t="n">
        <v>1.13</v>
      </c>
      <c r="P295" s="3" t="n">
        <v>24.09</v>
      </c>
      <c r="Q295" s="3" t="n">
        <v>114</v>
      </c>
      <c r="R295" s="3" t="n">
        <v>3.45</v>
      </c>
      <c r="S295" s="3">
        <f>IF(OR(Q295="",R295="",Q295=0),"",R295/Q295*100)</f>
        <v/>
      </c>
    </row>
    <row r="296" ht="16" customHeight="1">
      <c r="A296" s="2" t="inlineStr">
        <is>
          <t>4906</t>
        </is>
      </c>
      <c r="B296" s="2" t="inlineStr">
        <is>
          <t>正文</t>
        </is>
      </c>
      <c r="C296" s="2" t="inlineStr">
        <is>
          <t>通訊網路</t>
        </is>
      </c>
      <c r="D296" s="3" t="n">
        <v>10.35</v>
      </c>
      <c r="E296" s="3" t="n">
        <v>-6.58</v>
      </c>
      <c r="F296" s="3" t="n">
        <v>-4.21</v>
      </c>
      <c r="G296" s="3" t="n">
        <v>12.16</v>
      </c>
      <c r="H296" s="3" t="n">
        <v>-3.21</v>
      </c>
      <c r="I296" s="3" t="n">
        <v>-0.87</v>
      </c>
      <c r="J296" s="4">
        <f>IF(OR(D296="",G296=""),"",G296-D296)</f>
        <v/>
      </c>
      <c r="K296" s="4">
        <f>IF(OR(E296="",H296=""),"",H296-E296)</f>
        <v/>
      </c>
      <c r="L296" s="4">
        <f>IF(OR(F296="",I296=""),"",I296-F296)</f>
        <v/>
      </c>
      <c r="M296" s="3" t="n">
        <v>-0.32</v>
      </c>
      <c r="N296" s="3" t="n">
        <v>-0.42</v>
      </c>
      <c r="O296" s="3" t="n">
        <v>-0.1</v>
      </c>
      <c r="P296" s="3" t="n">
        <v>283.33</v>
      </c>
      <c r="Q296" s="3" t="n">
        <v>38.2</v>
      </c>
      <c r="R296" s="3" t="n">
        <v>0.47</v>
      </c>
      <c r="S296" s="3">
        <f>IF(OR(Q296="",R296="",Q296=0),"",R296/Q296*100)</f>
        <v/>
      </c>
    </row>
    <row r="297" ht="16" customHeight="1">
      <c r="A297" s="2" t="inlineStr">
        <is>
          <t>4915</t>
        </is>
      </c>
      <c r="B297" s="2" t="inlineStr">
        <is>
          <t>致伸</t>
        </is>
      </c>
      <c r="C297" s="2" t="inlineStr">
        <is>
          <t>電子工業</t>
        </is>
      </c>
      <c r="D297" s="3" t="n">
        <v>15.9</v>
      </c>
      <c r="E297" s="3" t="n">
        <v>4.34</v>
      </c>
      <c r="F297" s="3" t="n">
        <v>3.77</v>
      </c>
      <c r="G297" s="3" t="n">
        <v>14.85</v>
      </c>
      <c r="H297" s="3" t="n">
        <v>3.74</v>
      </c>
      <c r="I297" s="3" t="n">
        <v>3.37</v>
      </c>
      <c r="J297" s="4">
        <f>IF(OR(D297="",G297=""),"",G297-D297)</f>
        <v/>
      </c>
      <c r="K297" s="4">
        <f>IF(OR(E297="",H297=""),"",H297-E297)</f>
        <v/>
      </c>
      <c r="L297" s="4">
        <f>IF(OR(F297="",I297=""),"",I297-F297)</f>
        <v/>
      </c>
      <c r="M297" s="3" t="n">
        <v>1.3</v>
      </c>
      <c r="N297" s="3" t="n">
        <v>2.56</v>
      </c>
      <c r="O297" s="3" t="n">
        <v>1.26</v>
      </c>
      <c r="P297" s="3" t="n">
        <v>12.22</v>
      </c>
      <c r="Q297" s="3" t="n">
        <v>56</v>
      </c>
      <c r="R297" s="3" t="n">
        <v>4.57</v>
      </c>
      <c r="S297" s="3">
        <f>IF(OR(Q297="",R297="",Q297=0),"",R297/Q297*100)</f>
        <v/>
      </c>
    </row>
    <row r="298" ht="16" customHeight="1">
      <c r="A298" s="2" t="inlineStr">
        <is>
          <t>4919</t>
        </is>
      </c>
      <c r="B298" s="2" t="inlineStr">
        <is>
          <t>新唐</t>
        </is>
      </c>
      <c r="C298" s="2" t="inlineStr">
        <is>
          <t>半導體業</t>
        </is>
      </c>
      <c r="D298" s="3" t="n">
        <v>39.34</v>
      </c>
      <c r="E298" s="3" t="n">
        <v>-1.4</v>
      </c>
      <c r="F298" s="3" t="n">
        <v>0.09</v>
      </c>
      <c r="G298" s="3" t="n">
        <v>38.02</v>
      </c>
      <c r="H298" s="3" t="n">
        <v>-4.19</v>
      </c>
      <c r="I298" s="3" t="n">
        <v>-3.14</v>
      </c>
      <c r="J298" s="4">
        <f>IF(OR(D298="",G298=""),"",G298-D298)</f>
        <v/>
      </c>
      <c r="K298" s="4">
        <f>IF(OR(E298="",H298=""),"",H298-E298)</f>
        <v/>
      </c>
      <c r="L298" s="4">
        <f>IF(OR(F298="",I298=""),"",I298-F298)</f>
        <v/>
      </c>
      <c r="M298" s="3" t="n">
        <v>0.02</v>
      </c>
      <c r="N298" s="3" t="n">
        <v>-0.68</v>
      </c>
      <c r="O298" s="3" t="n">
        <v>-0.7</v>
      </c>
      <c r="P298" s="3" t="n"/>
      <c r="Q298" s="3" t="n">
        <v>124.5</v>
      </c>
      <c r="R298" s="3" t="n"/>
      <c r="S298" s="3">
        <f>IF(OR(Q298="",R298="",Q298=0),"",R298/Q298*100)</f>
        <v/>
      </c>
    </row>
    <row r="299" ht="16" customHeight="1">
      <c r="A299" s="2" t="inlineStr">
        <is>
          <t>4931</t>
        </is>
      </c>
      <c r="B299" s="2" t="inlineStr">
        <is>
          <t>新盛力</t>
        </is>
      </c>
      <c r="C299" s="2" t="inlineStr"/>
      <c r="D299" s="3" t="n">
        <v>22.08</v>
      </c>
      <c r="E299" s="3" t="n">
        <v>12.41</v>
      </c>
      <c r="F299" s="3" t="n">
        <v>12.27</v>
      </c>
      <c r="G299" s="3" t="n">
        <v>23.33</v>
      </c>
      <c r="H299" s="3" t="n">
        <v>15.06</v>
      </c>
      <c r="I299" s="3" t="n">
        <v>12.99</v>
      </c>
      <c r="J299" s="4">
        <f>IF(OR(D299="",G299=""),"",G299-D299)</f>
        <v/>
      </c>
      <c r="K299" s="4">
        <f>IF(OR(E299="",H299=""),"",H299-E299)</f>
        <v/>
      </c>
      <c r="L299" s="4">
        <f>IF(OR(F299="",I299=""),"",I299-F299)</f>
        <v/>
      </c>
      <c r="M299" s="3" t="n">
        <v>1.48</v>
      </c>
      <c r="N299" s="3" t="n">
        <v>3.68</v>
      </c>
      <c r="O299" s="3" t="n">
        <v>2.2</v>
      </c>
      <c r="P299" s="3" t="n"/>
      <c r="Q299" s="3" t="n">
        <v>194</v>
      </c>
      <c r="R299" s="3" t="n">
        <v>2.5</v>
      </c>
      <c r="S299" s="3">
        <f>IF(OR(Q299="",R299="",Q299=0),"",R299/Q299*100)</f>
        <v/>
      </c>
    </row>
    <row r="300" ht="16" customHeight="1">
      <c r="A300" s="2" t="inlineStr">
        <is>
          <t>4938</t>
        </is>
      </c>
      <c r="B300" s="2" t="inlineStr">
        <is>
          <t>和碩</t>
        </is>
      </c>
      <c r="C300" s="2" t="inlineStr">
        <is>
          <t>電子工業</t>
        </is>
      </c>
      <c r="D300" s="3" t="n">
        <v>4.42</v>
      </c>
      <c r="E300" s="3" t="n">
        <v>1.16</v>
      </c>
      <c r="F300" s="3" t="n">
        <v>1.17</v>
      </c>
      <c r="G300" s="3" t="n">
        <v>4.43</v>
      </c>
      <c r="H300" s="3" t="n">
        <v>1.54</v>
      </c>
      <c r="I300" s="3" t="n">
        <v>2.3</v>
      </c>
      <c r="J300" s="4">
        <f>IF(OR(D300="",G300=""),"",G300-D300)</f>
        <v/>
      </c>
      <c r="K300" s="4">
        <f>IF(OR(E300="",H300=""),"",H300-E300)</f>
        <v/>
      </c>
      <c r="L300" s="4">
        <f>IF(OR(F300="",I300=""),"",I300-F300)</f>
        <v/>
      </c>
      <c r="M300" s="3" t="n">
        <v>0.58</v>
      </c>
      <c r="N300" s="3" t="n">
        <v>1.86</v>
      </c>
      <c r="O300" s="3" t="n">
        <v>1.28</v>
      </c>
      <c r="P300" s="3" t="n">
        <v>15.99</v>
      </c>
      <c r="Q300" s="3" t="n">
        <v>102.5</v>
      </c>
      <c r="R300" s="3" t="n">
        <v>4.01</v>
      </c>
      <c r="S300" s="3">
        <f>IF(OR(Q300="",R300="",Q300=0),"",R300/Q300*100)</f>
        <v/>
      </c>
    </row>
    <row r="301" ht="16" customHeight="1">
      <c r="A301" s="2" t="inlineStr">
        <is>
          <t>4958</t>
        </is>
      </c>
      <c r="B301" s="2" t="inlineStr">
        <is>
          <t>臻鼎-KY</t>
        </is>
      </c>
      <c r="C301" s="2" t="inlineStr">
        <is>
          <t>電子工業</t>
        </is>
      </c>
      <c r="D301" s="3" t="n">
        <v>21.64</v>
      </c>
      <c r="E301" s="3" t="n">
        <v>6.15</v>
      </c>
      <c r="F301" s="3" t="n">
        <v>5.03</v>
      </c>
      <c r="G301" s="3" t="n">
        <v>23.1</v>
      </c>
      <c r="H301" s="3" t="n">
        <v>7.77</v>
      </c>
      <c r="I301" s="3" t="n">
        <v>7.7</v>
      </c>
      <c r="J301" s="4">
        <f>IF(OR(D301="",G301=""),"",G301-D301)</f>
        <v/>
      </c>
      <c r="K301" s="4">
        <f>IF(OR(E301="",H301=""),"",H301-E301)</f>
        <v/>
      </c>
      <c r="L301" s="4">
        <f>IF(OR(F301="",I301=""),"",I301-F301)</f>
        <v/>
      </c>
      <c r="M301" s="3" t="n">
        <v>1.33</v>
      </c>
      <c r="N301" s="3" t="n">
        <v>3.75</v>
      </c>
      <c r="O301" s="3" t="n">
        <v>2.42</v>
      </c>
      <c r="P301" s="3" t="n">
        <v>57.93</v>
      </c>
      <c r="Q301" s="3" t="n">
        <v>486</v>
      </c>
      <c r="R301" s="3" t="n">
        <v>3.42</v>
      </c>
      <c r="S301" s="3">
        <f>IF(OR(Q301="",R301="",Q301=0),"",R301/Q301*100)</f>
        <v/>
      </c>
    </row>
    <row r="302" ht="16" customHeight="1">
      <c r="A302" s="2" t="inlineStr">
        <is>
          <t>4961</t>
        </is>
      </c>
      <c r="B302" s="2" t="inlineStr">
        <is>
          <t>天鈺</t>
        </is>
      </c>
      <c r="C302" s="2" t="inlineStr">
        <is>
          <t>電子工業</t>
        </is>
      </c>
      <c r="D302" s="3" t="n">
        <v>27.8</v>
      </c>
      <c r="E302" s="3" t="n">
        <v>6.54</v>
      </c>
      <c r="F302" s="3" t="n">
        <v>7.1</v>
      </c>
      <c r="G302" s="3" t="n">
        <v>26.87</v>
      </c>
      <c r="H302" s="3" t="n">
        <v>9.16</v>
      </c>
      <c r="I302" s="3" t="n">
        <v>10.65</v>
      </c>
      <c r="J302" s="4">
        <f>IF(OR(D302="",G302=""),"",G302-D302)</f>
        <v/>
      </c>
      <c r="K302" s="4">
        <f>IF(OR(E302="",H302=""),"",H302-E302)</f>
        <v/>
      </c>
      <c r="L302" s="4">
        <f>IF(OR(F302="",I302=""),"",I302-F302)</f>
        <v/>
      </c>
      <c r="M302" s="3" t="n">
        <v>1.86</v>
      </c>
      <c r="N302" s="3" t="n">
        <v>5.07</v>
      </c>
      <c r="O302" s="3" t="n">
        <v>3.21</v>
      </c>
      <c r="P302" s="3" t="n">
        <v>18.65</v>
      </c>
      <c r="Q302" s="3" t="n">
        <v>183.5</v>
      </c>
      <c r="R302" s="3" t="n">
        <v>7.72</v>
      </c>
      <c r="S302" s="3">
        <f>IF(OR(Q302="",R302="",Q302=0),"",R302/Q302*100)</f>
        <v/>
      </c>
    </row>
    <row r="303" ht="16" customHeight="1">
      <c r="A303" s="2" t="inlineStr">
        <is>
          <t>4966</t>
        </is>
      </c>
      <c r="B303" s="2" t="inlineStr">
        <is>
          <t>譜瑞-KY</t>
        </is>
      </c>
      <c r="C303" s="2" t="inlineStr">
        <is>
          <t>半導體業</t>
        </is>
      </c>
      <c r="D303" s="3" t="n">
        <v>40.3</v>
      </c>
      <c r="E303" s="3" t="n">
        <v>13.53</v>
      </c>
      <c r="F303" s="3" t="n">
        <v>13.26</v>
      </c>
      <c r="G303" s="3" t="n">
        <v>40.21</v>
      </c>
      <c r="H303" s="3" t="n">
        <v>14.03</v>
      </c>
      <c r="I303" s="3" t="n">
        <v>13.96</v>
      </c>
      <c r="J303" s="4">
        <f>IF(OR(D303="",G303=""),"",G303-D303)</f>
        <v/>
      </c>
      <c r="K303" s="4">
        <f>IF(OR(E303="",H303=""),"",H303-E303)</f>
        <v/>
      </c>
      <c r="L303" s="4">
        <f>IF(OR(F303="",I303=""),"",I303-F303)</f>
        <v/>
      </c>
      <c r="M303" s="3" t="n">
        <v>6.77</v>
      </c>
      <c r="N303" s="3" t="n">
        <v>14.36</v>
      </c>
      <c r="O303" s="3" t="n">
        <v>7.59</v>
      </c>
      <c r="P303" s="3" t="n">
        <v>18.13</v>
      </c>
      <c r="Q303" s="3" t="n">
        <v>469.5</v>
      </c>
      <c r="R303" s="3" t="n">
        <v>17.79</v>
      </c>
      <c r="S303" s="3">
        <f>IF(OR(Q303="",R303="",Q303=0),"",R303/Q303*100)</f>
        <v/>
      </c>
    </row>
    <row r="304" ht="16" customHeight="1">
      <c r="A304" s="2" t="inlineStr">
        <is>
          <t>4967</t>
        </is>
      </c>
      <c r="B304" s="2" t="inlineStr">
        <is>
          <t>十銓</t>
        </is>
      </c>
      <c r="C304" s="2" t="inlineStr">
        <is>
          <t>半導體</t>
        </is>
      </c>
      <c r="D304" s="3" t="n">
        <v>38.02</v>
      </c>
      <c r="E304" s="3" t="n">
        <v>32.12</v>
      </c>
      <c r="F304" s="3" t="n">
        <v>25.36</v>
      </c>
      <c r="G304" s="3" t="n">
        <v>42.77</v>
      </c>
      <c r="H304" s="3" t="n">
        <v>40.5</v>
      </c>
      <c r="I304" s="3" t="n">
        <v>31.79</v>
      </c>
      <c r="J304" s="4">
        <f>IF(OR(D304="",G304=""),"",G304-D304)</f>
        <v/>
      </c>
      <c r="K304" s="4">
        <f>IF(OR(E304="",H304=""),"",H304-E304)</f>
        <v/>
      </c>
      <c r="L304" s="4">
        <f>IF(OR(F304="",I304=""),"",I304-F304)</f>
        <v/>
      </c>
      <c r="M304" s="3" t="n">
        <v>27</v>
      </c>
      <c r="N304" s="3" t="n">
        <v>53.47</v>
      </c>
      <c r="O304" s="3" t="n">
        <v>26.47</v>
      </c>
      <c r="P304" s="3" t="n">
        <v>4.13</v>
      </c>
      <c r="Q304" s="3" t="n">
        <v>279</v>
      </c>
      <c r="R304" s="3" t="n">
        <v>3.45</v>
      </c>
      <c r="S304" s="3">
        <f>IF(OR(Q304="",R304="",Q304=0),"",R304/Q304*100)</f>
        <v/>
      </c>
    </row>
    <row r="305" ht="16" customHeight="1">
      <c r="A305" s="2" t="inlineStr">
        <is>
          <t>4971</t>
        </is>
      </c>
      <c r="B305" s="2" t="inlineStr">
        <is>
          <t>IET-KY</t>
        </is>
      </c>
      <c r="C305" s="2" t="inlineStr">
        <is>
          <t>半導體業</t>
        </is>
      </c>
      <c r="D305" s="3" t="n">
        <v>47.84</v>
      </c>
      <c r="E305" s="3" t="n">
        <v>29.07</v>
      </c>
      <c r="F305" s="3" t="n">
        <v>23.69</v>
      </c>
      <c r="G305" s="3" t="n"/>
      <c r="H305" s="3" t="n"/>
      <c r="I305" s="3" t="n"/>
      <c r="J305" s="4">
        <f>IF(OR(D305="",G305=""),"",G305-D305)</f>
        <v/>
      </c>
      <c r="K305" s="4">
        <f>IF(OR(E305="",H305=""),"",H305-E305)</f>
        <v/>
      </c>
      <c r="L305" s="4">
        <f>IF(OR(F305="",I305=""),"",I305-F305)</f>
        <v/>
      </c>
      <c r="M305" s="3" t="n">
        <v>1.97</v>
      </c>
      <c r="N305" s="3" t="n"/>
      <c r="O305" s="3" t="n"/>
      <c r="P305" s="3" t="n">
        <v>94.3</v>
      </c>
      <c r="Q305" s="3" t="n">
        <v>429</v>
      </c>
      <c r="R305" s="3" t="n">
        <v>0.85</v>
      </c>
      <c r="S305" s="3">
        <f>IF(OR(Q305="",R305="",Q305=0),"",R305/Q305*100)</f>
        <v/>
      </c>
    </row>
    <row r="306" ht="16" customHeight="1">
      <c r="A306" s="2" t="inlineStr">
        <is>
          <t>4979</t>
        </is>
      </c>
      <c r="B306" s="2" t="inlineStr">
        <is>
          <t>華星光</t>
        </is>
      </c>
      <c r="C306" s="2" t="inlineStr">
        <is>
          <t>通信網路業</t>
        </is>
      </c>
      <c r="D306" s="3" t="n">
        <v>25.42</v>
      </c>
      <c r="E306" s="3" t="n">
        <v>21</v>
      </c>
      <c r="F306" s="3" t="n">
        <v>19.24</v>
      </c>
      <c r="G306" s="3" t="n">
        <v>22.44</v>
      </c>
      <c r="H306" s="3" t="n">
        <v>18.34</v>
      </c>
      <c r="I306" s="3" t="n">
        <v>14.29</v>
      </c>
      <c r="J306" s="4">
        <f>IF(OR(D306="",G306=""),"",G306-D306)</f>
        <v/>
      </c>
      <c r="K306" s="4">
        <f>IF(OR(E306="",H306=""),"",H306-E306)</f>
        <v/>
      </c>
      <c r="L306" s="4">
        <f>IF(OR(F306="",I306=""),"",I306-F306)</f>
        <v/>
      </c>
      <c r="M306" s="3" t="n">
        <v>1.62</v>
      </c>
      <c r="N306" s="3" t="n">
        <v>2.92</v>
      </c>
      <c r="O306" s="3" t="n">
        <v>1.3</v>
      </c>
      <c r="P306" s="3" t="n">
        <v>85.43000000000001</v>
      </c>
      <c r="Q306" s="3" t="n">
        <v>447</v>
      </c>
      <c r="R306" s="3" t="n">
        <v>2.15</v>
      </c>
      <c r="S306" s="3">
        <f>IF(OR(Q306="",R306="",Q306=0),"",R306/Q306*100)</f>
        <v/>
      </c>
    </row>
    <row r="307" ht="16" customHeight="1">
      <c r="A307" s="2" t="inlineStr">
        <is>
          <t>4991</t>
        </is>
      </c>
      <c r="B307" s="2" t="inlineStr">
        <is>
          <t>環宇-KY</t>
        </is>
      </c>
      <c r="C307" s="2" t="inlineStr">
        <is>
          <t>半導體業</t>
        </is>
      </c>
      <c r="D307" s="3" t="n">
        <v>54.53</v>
      </c>
      <c r="E307" s="3" t="n">
        <v>25.49</v>
      </c>
      <c r="F307" s="3" t="n">
        <v>27.44</v>
      </c>
      <c r="G307" s="3" t="n"/>
      <c r="H307" s="3" t="n"/>
      <c r="I307" s="3" t="n"/>
      <c r="J307" s="4">
        <f>IF(OR(D307="",G307=""),"",G307-D307)</f>
        <v/>
      </c>
      <c r="K307" s="4">
        <f>IF(OR(E307="",H307=""),"",H307-E307)</f>
        <v/>
      </c>
      <c r="L307" s="4">
        <f>IF(OR(F307="",I307=""),"",I307-F307)</f>
        <v/>
      </c>
      <c r="M307" s="3" t="n">
        <v>1.67</v>
      </c>
      <c r="N307" s="3" t="n"/>
      <c r="O307" s="3" t="n"/>
      <c r="P307" s="3" t="n">
        <v>190.08</v>
      </c>
      <c r="Q307" s="3" t="n">
        <v>388</v>
      </c>
      <c r="R307" s="3" t="n"/>
      <c r="S307" s="3">
        <f>IF(OR(Q307="",R307="",Q307=0),"",R307/Q307*100)</f>
        <v/>
      </c>
    </row>
    <row r="308" ht="16" customHeight="1">
      <c r="A308" s="2" t="inlineStr">
        <is>
          <t>5007</t>
        </is>
      </c>
      <c r="B308" s="2" t="inlineStr">
        <is>
          <t>三星</t>
        </is>
      </c>
      <c r="C308" s="2" t="inlineStr">
        <is>
          <t>鋼鐵工業</t>
        </is>
      </c>
      <c r="D308" s="3" t="n">
        <v>27.58</v>
      </c>
      <c r="E308" s="3" t="n">
        <v>19.59</v>
      </c>
      <c r="F308" s="3" t="n">
        <v>17.73</v>
      </c>
      <c r="G308" s="3" t="n">
        <v>28.78</v>
      </c>
      <c r="H308" s="3" t="n">
        <v>19.93</v>
      </c>
      <c r="I308" s="3" t="n">
        <v>16.71</v>
      </c>
      <c r="J308" s="4">
        <f>IF(OR(D308="",G308=""),"",G308-D308)</f>
        <v/>
      </c>
      <c r="K308" s="4">
        <f>IF(OR(E308="",H308=""),"",H308-E308)</f>
        <v/>
      </c>
      <c r="L308" s="4">
        <f>IF(OR(F308="",I308=""),"",I308-F308)</f>
        <v/>
      </c>
      <c r="M308" s="3" t="n">
        <v>0.91</v>
      </c>
      <c r="N308" s="3" t="n">
        <v>1.81</v>
      </c>
      <c r="O308" s="3" t="n">
        <v>0.9</v>
      </c>
      <c r="P308" s="3" t="n">
        <v>15.93</v>
      </c>
      <c r="Q308" s="3" t="n">
        <v>56.1</v>
      </c>
      <c r="R308" s="3" t="n">
        <v>2.73</v>
      </c>
      <c r="S308" s="3">
        <f>IF(OR(Q308="",R308="",Q308=0),"",R308/Q308*100)</f>
        <v/>
      </c>
    </row>
    <row r="309" ht="16" customHeight="1">
      <c r="A309" s="2" t="inlineStr">
        <is>
          <t>5009</t>
        </is>
      </c>
      <c r="B309" s="2" t="inlineStr">
        <is>
          <t>榮剛</t>
        </is>
      </c>
      <c r="C309" s="2" t="inlineStr">
        <is>
          <t>鋼鐵工業</t>
        </is>
      </c>
      <c r="D309" s="3" t="n">
        <v>24.38</v>
      </c>
      <c r="E309" s="3" t="n">
        <v>11.16</v>
      </c>
      <c r="F309" s="3" t="n">
        <v>9.98</v>
      </c>
      <c r="G309" s="3" t="n">
        <v>23.81</v>
      </c>
      <c r="H309" s="3" t="n">
        <v>11.82</v>
      </c>
      <c r="I309" s="3" t="n">
        <v>9.48</v>
      </c>
      <c r="J309" s="4">
        <f>IF(OR(D309="",G309=""),"",G309-D309)</f>
        <v/>
      </c>
      <c r="K309" s="4">
        <f>IF(OR(E309="",H309=""),"",H309-E309)</f>
        <v/>
      </c>
      <c r="L309" s="4">
        <f>IF(OR(F309="",I309=""),"",I309-F309)</f>
        <v/>
      </c>
      <c r="M309" s="3" t="n">
        <v>0.5</v>
      </c>
      <c r="N309" s="3" t="n">
        <v>1.03</v>
      </c>
      <c r="O309" s="3" t="n">
        <v>0.53</v>
      </c>
      <c r="P309" s="3" t="n">
        <v>15.55</v>
      </c>
      <c r="Q309" s="3" t="n">
        <v>31.85</v>
      </c>
      <c r="R309" s="3" t="n">
        <v>1.2</v>
      </c>
      <c r="S309" s="3">
        <f>IF(OR(Q309="",R309="",Q309=0),"",R309/Q309*100)</f>
        <v/>
      </c>
    </row>
    <row r="310" ht="16" customHeight="1">
      <c r="A310" s="2" t="inlineStr">
        <is>
          <t>5213</t>
        </is>
      </c>
      <c r="B310" s="2" t="inlineStr">
        <is>
          <t>亞昕</t>
        </is>
      </c>
      <c r="C310" s="2" t="inlineStr">
        <is>
          <t>建材營造</t>
        </is>
      </c>
      <c r="D310" s="3" t="n">
        <v>29.2</v>
      </c>
      <c r="E310" s="3" t="n">
        <v>11.81</v>
      </c>
      <c r="F310" s="3" t="n">
        <v>-7.57</v>
      </c>
      <c r="G310" s="3" t="n">
        <v>32.05</v>
      </c>
      <c r="H310" s="3" t="n">
        <v>20.71</v>
      </c>
      <c r="I310" s="3" t="n">
        <v>9.59</v>
      </c>
      <c r="J310" s="4">
        <f>IF(OR(D310="",G310=""),"",G310-D310)</f>
        <v/>
      </c>
      <c r="K310" s="4">
        <f>IF(OR(E310="",H310=""),"",H310-E310)</f>
        <v/>
      </c>
      <c r="L310" s="4">
        <f>IF(OR(F310="",I310=""),"",I310-F310)</f>
        <v/>
      </c>
      <c r="M310" s="3" t="n">
        <v>-0.12</v>
      </c>
      <c r="N310" s="3" t="n">
        <v>0.29</v>
      </c>
      <c r="O310" s="3" t="n">
        <v>0.41</v>
      </c>
      <c r="P310" s="3" t="n">
        <v>13.01</v>
      </c>
      <c r="Q310" s="3" t="n">
        <v>20.2</v>
      </c>
      <c r="R310" s="3" t="n">
        <v>2.8</v>
      </c>
      <c r="S310" s="3">
        <f>IF(OR(Q310="",R310="",Q310=0),"",R310/Q310*100)</f>
        <v/>
      </c>
    </row>
    <row r="311" ht="16" customHeight="1">
      <c r="A311" s="2" t="inlineStr">
        <is>
          <t>5234</t>
        </is>
      </c>
      <c r="B311" s="2" t="inlineStr">
        <is>
          <t>達興材料</t>
        </is>
      </c>
      <c r="C311" s="2" t="inlineStr">
        <is>
          <t>光電業</t>
        </is>
      </c>
      <c r="D311" s="3" t="n">
        <v>43.1</v>
      </c>
      <c r="E311" s="3" t="n">
        <v>20.1</v>
      </c>
      <c r="F311" s="3" t="n">
        <v>18.9</v>
      </c>
      <c r="G311" s="3" t="n">
        <v>42.91</v>
      </c>
      <c r="H311" s="3" t="n">
        <v>20.09</v>
      </c>
      <c r="I311" s="3" t="n">
        <v>17.85</v>
      </c>
      <c r="J311" s="4">
        <f>IF(OR(D311="",G311=""),"",G311-D311)</f>
        <v/>
      </c>
      <c r="K311" s="4">
        <f>IF(OR(E311="",H311=""),"",H311-E311)</f>
        <v/>
      </c>
      <c r="L311" s="4">
        <f>IF(OR(F311="",I311=""),"",I311-F311)</f>
        <v/>
      </c>
      <c r="M311" s="3" t="n">
        <v>2.21</v>
      </c>
      <c r="N311" s="3" t="n">
        <v>4.44</v>
      </c>
      <c r="O311" s="3" t="n">
        <v>2.23</v>
      </c>
      <c r="P311" s="3" t="n">
        <v>36.1</v>
      </c>
      <c r="Q311" s="3" t="n">
        <v>264.5</v>
      </c>
      <c r="R311" s="3" t="n">
        <v>6.5</v>
      </c>
      <c r="S311" s="3">
        <f>IF(OR(Q311="",R311="",Q311=0),"",R311/Q311*100)</f>
        <v/>
      </c>
    </row>
    <row r="312" ht="16" customHeight="1">
      <c r="A312" s="2" t="inlineStr">
        <is>
          <t>5243</t>
        </is>
      </c>
      <c r="B312" s="2" t="inlineStr">
        <is>
          <t>乙盛-KY</t>
        </is>
      </c>
      <c r="C312" s="2" t="inlineStr">
        <is>
          <t>光電業</t>
        </is>
      </c>
      <c r="D312" s="3" t="n">
        <v>24.76</v>
      </c>
      <c r="E312" s="3" t="n">
        <v>11</v>
      </c>
      <c r="F312" s="3" t="n">
        <v>7.9</v>
      </c>
      <c r="G312" s="3" t="n"/>
      <c r="H312" s="3" t="n"/>
      <c r="I312" s="3" t="n"/>
      <c r="J312" s="4">
        <f>IF(OR(D312="",G312=""),"",G312-D312)</f>
        <v/>
      </c>
      <c r="K312" s="4">
        <f>IF(OR(E312="",H312=""),"",H312-E312)</f>
        <v/>
      </c>
      <c r="L312" s="4">
        <f>IF(OR(F312="",I312=""),"",I312-F312)</f>
        <v/>
      </c>
      <c r="M312" s="3" t="n">
        <v>1.47</v>
      </c>
      <c r="N312" s="3" t="n"/>
      <c r="O312" s="3" t="n"/>
      <c r="P312" s="3" t="n">
        <v>17.93</v>
      </c>
      <c r="Q312" s="3" t="n">
        <v>88.09999999999999</v>
      </c>
      <c r="R312" s="3" t="n">
        <v>2.2</v>
      </c>
      <c r="S312" s="3">
        <f>IF(OR(Q312="",R312="",Q312=0),"",R312/Q312*100)</f>
        <v/>
      </c>
    </row>
    <row r="313" ht="16" customHeight="1">
      <c r="A313" s="2" t="inlineStr">
        <is>
          <t>5269</t>
        </is>
      </c>
      <c r="B313" s="2" t="inlineStr">
        <is>
          <t>祥碩</t>
        </is>
      </c>
      <c r="C313" s="2" t="inlineStr">
        <is>
          <t>半導體業</t>
        </is>
      </c>
      <c r="D313" s="3" t="n">
        <v>50.83</v>
      </c>
      <c r="E313" s="3" t="n">
        <v>23.09</v>
      </c>
      <c r="F313" s="3" t="n">
        <v>53</v>
      </c>
      <c r="G313" s="3" t="n">
        <v>50.23</v>
      </c>
      <c r="H313" s="3" t="n">
        <v>23.82</v>
      </c>
      <c r="I313" s="3" t="n">
        <v>74.09</v>
      </c>
      <c r="J313" s="4">
        <f>IF(OR(D313="",G313=""),"",G313-D313)</f>
        <v/>
      </c>
      <c r="K313" s="4">
        <f>IF(OR(E313="",H313=""),"",H313-E313)</f>
        <v/>
      </c>
      <c r="L313" s="4">
        <f>IF(OR(F313="",I313=""),"",I313-F313)</f>
        <v/>
      </c>
      <c r="M313" s="3" t="n">
        <v>24.85</v>
      </c>
      <c r="N313" s="3" t="n">
        <v>51.89</v>
      </c>
      <c r="O313" s="3" t="n">
        <v>27.04</v>
      </c>
      <c r="P313" s="3" t="n">
        <v>14.72</v>
      </c>
      <c r="Q313" s="3" t="n">
        <v>1465</v>
      </c>
      <c r="R313" s="3" t="n">
        <v>45.38</v>
      </c>
      <c r="S313" s="3">
        <f>IF(OR(Q313="",R313="",Q313=0),"",R313/Q313*100)</f>
        <v/>
      </c>
    </row>
    <row r="314" ht="16" customHeight="1">
      <c r="A314" s="2" t="inlineStr">
        <is>
          <t>5274</t>
        </is>
      </c>
      <c r="B314" s="2" t="inlineStr">
        <is>
          <t>信驊</t>
        </is>
      </c>
      <c r="C314" s="2" t="inlineStr">
        <is>
          <t>半導體業</t>
        </is>
      </c>
      <c r="D314" s="3" t="n">
        <v>69.18000000000001</v>
      </c>
      <c r="E314" s="3" t="n">
        <v>52.72</v>
      </c>
      <c r="F314" s="3" t="n">
        <v>44.94</v>
      </c>
      <c r="G314" s="3" t="n">
        <v>72.01000000000001</v>
      </c>
      <c r="H314" s="3" t="n">
        <v>53.88</v>
      </c>
      <c r="I314" s="3" t="n">
        <v>47.57</v>
      </c>
      <c r="J314" s="4">
        <f>IF(OR(D314="",G314=""),"",G314-D314)</f>
        <v/>
      </c>
      <c r="K314" s="4">
        <f>IF(OR(E314="",H314=""),"",H314-E314)</f>
        <v/>
      </c>
      <c r="L314" s="4">
        <f>IF(OR(F314="",I314=""),"",I314-F314)</f>
        <v/>
      </c>
      <c r="M314" s="3" t="n">
        <v>37.41</v>
      </c>
      <c r="N314" s="3" t="n">
        <v>86.12</v>
      </c>
      <c r="O314" s="3" t="n">
        <v>48.71</v>
      </c>
      <c r="P314" s="3" t="n">
        <v>118</v>
      </c>
      <c r="Q314" s="3" t="n">
        <v>15970</v>
      </c>
      <c r="R314" s="3" t="n">
        <v>80</v>
      </c>
      <c r="S314" s="3">
        <f>IF(OR(Q314="",R314="",Q314=0),"",R314/Q314*100)</f>
        <v/>
      </c>
    </row>
    <row r="315" ht="16" customHeight="1">
      <c r="A315" s="2" t="inlineStr">
        <is>
          <t>5284</t>
        </is>
      </c>
      <c r="B315" s="2" t="inlineStr">
        <is>
          <t>jpp-KY</t>
        </is>
      </c>
      <c r="C315" s="2" t="inlineStr">
        <is>
          <t>其他</t>
        </is>
      </c>
      <c r="D315" s="3" t="n">
        <v>37.51</v>
      </c>
      <c r="E315" s="3" t="n">
        <v>21.02</v>
      </c>
      <c r="F315" s="3" t="n">
        <v>18.41</v>
      </c>
      <c r="G315" s="3" t="n"/>
      <c r="H315" s="3" t="n"/>
      <c r="I315" s="3" t="n"/>
      <c r="J315" s="4">
        <f>IF(OR(D315="",G315=""),"",G315-D315)</f>
        <v/>
      </c>
      <c r="K315" s="4">
        <f>IF(OR(E315="",H315=""),"",H315-E315)</f>
        <v/>
      </c>
      <c r="L315" s="4">
        <f>IF(OR(F315="",I315=""),"",I315-F315)</f>
        <v/>
      </c>
      <c r="M315" s="3" t="n">
        <v>4.13</v>
      </c>
      <c r="N315" s="3" t="n"/>
      <c r="O315" s="3" t="n"/>
      <c r="P315" s="3" t="n">
        <v>23.77</v>
      </c>
      <c r="Q315" s="3" t="n">
        <v>273.5</v>
      </c>
      <c r="R315" s="3" t="n">
        <v>5</v>
      </c>
      <c r="S315" s="3">
        <f>IF(OR(Q315="",R315="",Q315=0),"",R315/Q315*100)</f>
        <v/>
      </c>
    </row>
    <row r="316" ht="16" customHeight="1">
      <c r="A316" s="2" t="inlineStr">
        <is>
          <t>5289</t>
        </is>
      </c>
      <c r="B316" s="2" t="inlineStr">
        <is>
          <t>宜鼎</t>
        </is>
      </c>
      <c r="C316" s="2" t="inlineStr">
        <is>
          <t>電腦及週邊設備業</t>
        </is>
      </c>
      <c r="D316" s="3" t="n">
        <v>59.1</v>
      </c>
      <c r="E316" s="3" t="n">
        <v>51.96</v>
      </c>
      <c r="F316" s="3" t="n">
        <v>41.55</v>
      </c>
      <c r="G316" s="3" t="n">
        <v>65</v>
      </c>
      <c r="H316" s="3" t="n">
        <v>58.58</v>
      </c>
      <c r="I316" s="3" t="n">
        <v>46.36</v>
      </c>
      <c r="J316" s="4">
        <f>IF(OR(D316="",G316=""),"",G316-D316)</f>
        <v/>
      </c>
      <c r="K316" s="4">
        <f>IF(OR(E316="",H316=""),"",H316-E316)</f>
        <v/>
      </c>
      <c r="L316" s="4">
        <f>IF(OR(F316="",I316=""),"",I316-F316)</f>
        <v/>
      </c>
      <c r="M316" s="3" t="n">
        <v>57.49</v>
      </c>
      <c r="N316" s="3" t="n">
        <v>166.69</v>
      </c>
      <c r="O316" s="3" t="n">
        <v>109.2</v>
      </c>
      <c r="P316" s="3" t="n">
        <v>8.19</v>
      </c>
      <c r="Q316" s="3" t="n">
        <v>1120</v>
      </c>
      <c r="R316" s="3" t="n">
        <v>16.83</v>
      </c>
      <c r="S316" s="3">
        <f>IF(OR(Q316="",R316="",Q316=0),"",R316/Q316*100)</f>
        <v/>
      </c>
    </row>
    <row r="317" ht="16" customHeight="1">
      <c r="A317" s="2" t="inlineStr">
        <is>
          <t>5314</t>
        </is>
      </c>
      <c r="B317" s="2" t="inlineStr">
        <is>
          <t>世紀</t>
        </is>
      </c>
      <c r="C317" s="2" t="inlineStr">
        <is>
          <t>半導體業</t>
        </is>
      </c>
      <c r="D317" s="3" t="n">
        <v>41.29</v>
      </c>
      <c r="E317" s="3" t="n">
        <v>11.48</v>
      </c>
      <c r="F317" s="3" t="n">
        <v>9.74</v>
      </c>
      <c r="G317" s="3" t="n">
        <v>42.07</v>
      </c>
      <c r="H317" s="3" t="n">
        <v>13.34</v>
      </c>
      <c r="I317" s="3" t="n">
        <v>7.84</v>
      </c>
      <c r="J317" s="4">
        <f>IF(OR(D317="",G317=""),"",G317-D317)</f>
        <v/>
      </c>
      <c r="K317" s="4">
        <f>IF(OR(E317="",H317=""),"",H317-E317)</f>
        <v/>
      </c>
      <c r="L317" s="4">
        <f>IF(OR(F317="",I317=""),"",I317-F317)</f>
        <v/>
      </c>
      <c r="M317" s="3" t="n">
        <v>0.37</v>
      </c>
      <c r="N317" s="3" t="n">
        <v>0.73</v>
      </c>
      <c r="O317" s="3" t="n">
        <v>0.36</v>
      </c>
      <c r="P317" s="3" t="n">
        <v>3.5</v>
      </c>
      <c r="Q317" s="3" t="n">
        <v>23.3</v>
      </c>
      <c r="R317" s="3" t="n">
        <v>0</v>
      </c>
      <c r="S317" s="3">
        <f>IF(OR(Q317="",R317="",Q317=0),"",R317/Q317*100)</f>
        <v/>
      </c>
    </row>
    <row r="318" ht="16" customHeight="1">
      <c r="A318" s="2" t="inlineStr">
        <is>
          <t>5340</t>
        </is>
      </c>
      <c r="B318" s="2" t="inlineStr">
        <is>
          <t>建榮</t>
        </is>
      </c>
      <c r="C318" s="2" t="inlineStr">
        <is>
          <t>電子零組件業</t>
        </is>
      </c>
      <c r="D318" s="3" t="n">
        <v>21.19</v>
      </c>
      <c r="E318" s="3" t="n">
        <v>16.33</v>
      </c>
      <c r="F318" s="3" t="n">
        <v>14.2</v>
      </c>
      <c r="G318" s="3" t="n">
        <v>22.99</v>
      </c>
      <c r="H318" s="3" t="n">
        <v>18.4</v>
      </c>
      <c r="I318" s="3" t="n">
        <v>15.03</v>
      </c>
      <c r="J318" s="4">
        <f>IF(OR(D318="",G318=""),"",G318-D318)</f>
        <v/>
      </c>
      <c r="K318" s="4">
        <f>IF(OR(E318="",H318=""),"",H318-E318)</f>
        <v/>
      </c>
      <c r="L318" s="4">
        <f>IF(OR(F318="",I318=""),"",I318-F318)</f>
        <v/>
      </c>
      <c r="M318" s="3" t="n">
        <v>0.46</v>
      </c>
      <c r="N318" s="3" t="n">
        <v>1.01</v>
      </c>
      <c r="O318" s="3" t="n">
        <v>0.55</v>
      </c>
      <c r="P318" s="3" t="n">
        <v>42.25</v>
      </c>
      <c r="Q318" s="3" t="n">
        <v>80.2</v>
      </c>
      <c r="R318" s="3" t="n">
        <v>0.6</v>
      </c>
      <c r="S318" s="3">
        <f>IF(OR(Q318="",R318="",Q318=0),"",R318/Q318*100)</f>
        <v/>
      </c>
    </row>
    <row r="319" ht="16" customHeight="1">
      <c r="A319" s="2" t="inlineStr">
        <is>
          <t>5347</t>
        </is>
      </c>
      <c r="B319" s="2" t="inlineStr">
        <is>
          <t>世界</t>
        </is>
      </c>
      <c r="C319" s="2" t="inlineStr">
        <is>
          <t>半導體業</t>
        </is>
      </c>
      <c r="D319" s="3" t="n">
        <v>29.29</v>
      </c>
      <c r="E319" s="3" t="n">
        <v>16.65</v>
      </c>
      <c r="F319" s="3" t="n">
        <v>17.27</v>
      </c>
      <c r="G319" s="3" t="n">
        <v>32.33</v>
      </c>
      <c r="H319" s="3" t="n">
        <v>20.37</v>
      </c>
      <c r="I319" s="3" t="n">
        <v>20.32</v>
      </c>
      <c r="J319" s="4">
        <f>IF(OR(D319="",G319=""),"",G319-D319)</f>
        <v/>
      </c>
      <c r="K319" s="4">
        <f>IF(OR(E319="",H319=""),"",H319-E319)</f>
        <v/>
      </c>
      <c r="L319" s="4">
        <f>IF(OR(F319="",I319=""),"",I319-F319)</f>
        <v/>
      </c>
      <c r="M319" s="3" t="n">
        <v>1.22</v>
      </c>
      <c r="N319" s="3" t="n">
        <v>2.85</v>
      </c>
      <c r="O319" s="3" t="n">
        <v>1.63</v>
      </c>
      <c r="P319" s="3" t="n">
        <v>34.74</v>
      </c>
      <c r="Q319" s="3" t="n">
        <v>144</v>
      </c>
      <c r="R319" s="3" t="n">
        <v>4.47</v>
      </c>
      <c r="S319" s="3">
        <f>IF(OR(Q319="",R319="",Q319=0),"",R319/Q319*100)</f>
        <v/>
      </c>
    </row>
    <row r="320" ht="16" customHeight="1">
      <c r="A320" s="2" t="inlineStr">
        <is>
          <t>5351</t>
        </is>
      </c>
      <c r="B320" s="2" t="inlineStr">
        <is>
          <t>鈺創</t>
        </is>
      </c>
      <c r="C320" s="2" t="inlineStr">
        <is>
          <t>半導體業</t>
        </is>
      </c>
      <c r="D320" s="3" t="n">
        <v>36.65</v>
      </c>
      <c r="E320" s="3" t="n">
        <v>22.53</v>
      </c>
      <c r="F320" s="3" t="n">
        <v>21.74</v>
      </c>
      <c r="G320" s="3" t="n">
        <v>52.16</v>
      </c>
      <c r="H320" s="3" t="n">
        <v>35.22</v>
      </c>
      <c r="I320" s="3" t="n">
        <v>31.82</v>
      </c>
      <c r="J320" s="4">
        <f>IF(OR(D320="",G320=""),"",G320-D320)</f>
        <v/>
      </c>
      <c r="K320" s="4">
        <f>IF(OR(E320="",H320=""),"",H320-E320)</f>
        <v/>
      </c>
      <c r="L320" s="4">
        <f>IF(OR(F320="",I320=""),"",I320-F320)</f>
        <v/>
      </c>
      <c r="M320" s="3" t="n">
        <v>1.88</v>
      </c>
      <c r="N320" s="3" t="n">
        <v>6.81</v>
      </c>
      <c r="O320" s="3" t="n">
        <v>4.93</v>
      </c>
      <c r="P320" s="3" t="n">
        <v>20.59</v>
      </c>
      <c r="Q320" s="3" t="n">
        <v>107.5</v>
      </c>
      <c r="R320" s="3" t="n"/>
      <c r="S320" s="3">
        <f>IF(OR(Q320="",R320="",Q320=0),"",R320/Q320*100)</f>
        <v/>
      </c>
    </row>
    <row r="321" ht="16" customHeight="1">
      <c r="A321" s="2" t="inlineStr">
        <is>
          <t>5371</t>
        </is>
      </c>
      <c r="B321" s="2" t="inlineStr">
        <is>
          <t>中光電</t>
        </is>
      </c>
      <c r="C321" s="2" t="inlineStr">
        <is>
          <t>光電業</t>
        </is>
      </c>
      <c r="D321" s="3" t="n">
        <v>15.62</v>
      </c>
      <c r="E321" s="3" t="n">
        <v>-1.51</v>
      </c>
      <c r="F321" s="3" t="n">
        <v>-1.25</v>
      </c>
      <c r="G321" s="3" t="n">
        <v>15.29</v>
      </c>
      <c r="H321" s="3" t="n">
        <v>-0.83</v>
      </c>
      <c r="I321" s="3" t="n">
        <v>-0.73</v>
      </c>
      <c r="J321" s="4">
        <f>IF(OR(D321="",G321=""),"",G321-D321)</f>
        <v/>
      </c>
      <c r="K321" s="4">
        <f>IF(OR(E321="",H321=""),"",H321-E321)</f>
        <v/>
      </c>
      <c r="L321" s="4">
        <f>IF(OR(F321="",I321=""),"",I321-F321)</f>
        <v/>
      </c>
      <c r="M321" s="3" t="n">
        <v>-0.3</v>
      </c>
      <c r="N321" s="3" t="n">
        <v>-0.49</v>
      </c>
      <c r="O321" s="3" t="n">
        <v>-0.19</v>
      </c>
      <c r="P321" s="3" t="n">
        <v>337.2</v>
      </c>
      <c r="Q321" s="3" t="n">
        <v>90.09999999999999</v>
      </c>
      <c r="R321" s="3" t="n">
        <v>0.3</v>
      </c>
      <c r="S321" s="3">
        <f>IF(OR(Q321="",R321="",Q321=0),"",R321/Q321*100)</f>
        <v/>
      </c>
    </row>
    <row r="322" ht="16" customHeight="1">
      <c r="A322" s="2" t="inlineStr">
        <is>
          <t>5388</t>
        </is>
      </c>
      <c r="B322" s="2" t="inlineStr">
        <is>
          <t>中磊</t>
        </is>
      </c>
      <c r="C322" s="2" t="inlineStr">
        <is>
          <t>通信網路業</t>
        </is>
      </c>
      <c r="D322" s="3" t="n">
        <v>13.66</v>
      </c>
      <c r="E322" s="3" t="n">
        <v>2.94</v>
      </c>
      <c r="F322" s="3" t="n">
        <v>1.82</v>
      </c>
      <c r="G322" s="3" t="n">
        <v>12.3</v>
      </c>
      <c r="H322" s="3" t="n">
        <v>3.29</v>
      </c>
      <c r="I322" s="3" t="n">
        <v>2.3</v>
      </c>
      <c r="J322" s="4">
        <f>IF(OR(D322="",G322=""),"",G322-D322)</f>
        <v/>
      </c>
      <c r="K322" s="4">
        <f>IF(OR(E322="",H322=""),"",H322-E322)</f>
        <v/>
      </c>
      <c r="L322" s="4">
        <f>IF(OR(F322="",I322=""),"",I322-F322)</f>
        <v/>
      </c>
      <c r="M322" s="3" t="n">
        <v>1.01</v>
      </c>
      <c r="N322" s="3" t="n">
        <v>2.59</v>
      </c>
      <c r="O322" s="3" t="n">
        <v>1.58</v>
      </c>
      <c r="P322" s="3" t="n">
        <v>17.36</v>
      </c>
      <c r="Q322" s="3" t="n">
        <v>71.3</v>
      </c>
      <c r="R322" s="3" t="n">
        <v>2.5</v>
      </c>
      <c r="S322" s="3">
        <f>IF(OR(Q322="",R322="",Q322=0),"",R322/Q322*100)</f>
        <v/>
      </c>
    </row>
    <row r="323" ht="16" customHeight="1">
      <c r="A323" s="2" t="inlineStr">
        <is>
          <t>5425</t>
        </is>
      </c>
      <c r="B323" s="2" t="inlineStr">
        <is>
          <t>台半</t>
        </is>
      </c>
      <c r="C323" s="2" t="inlineStr">
        <is>
          <t>半導體業</t>
        </is>
      </c>
      <c r="D323" s="3" t="n">
        <v>31.29</v>
      </c>
      <c r="E323" s="3" t="n">
        <v>8.65</v>
      </c>
      <c r="F323" s="3" t="n">
        <v>7.06</v>
      </c>
      <c r="G323" s="3" t="n">
        <v>29.63</v>
      </c>
      <c r="H323" s="3" t="n">
        <v>9.279999999999999</v>
      </c>
      <c r="I323" s="3" t="n">
        <v>7.06</v>
      </c>
      <c r="J323" s="4">
        <f>IF(OR(D323="",G323=""),"",G323-D323)</f>
        <v/>
      </c>
      <c r="K323" s="4">
        <f>IF(OR(E323="",H323=""),"",H323-E323)</f>
        <v/>
      </c>
      <c r="L323" s="4">
        <f>IF(OR(F323="",I323=""),"",I323-F323)</f>
        <v/>
      </c>
      <c r="M323" s="3" t="n">
        <v>0.7</v>
      </c>
      <c r="N323" s="3" t="n">
        <v>1.51</v>
      </c>
      <c r="O323" s="3" t="n">
        <v>0.8100000000000001</v>
      </c>
      <c r="P323" s="3" t="n"/>
      <c r="Q323" s="3" t="n">
        <v>85.90000000000001</v>
      </c>
      <c r="R323" s="3" t="n">
        <v>2.02</v>
      </c>
      <c r="S323" s="3">
        <f>IF(OR(Q323="",R323="",Q323=0),"",R323/Q323*100)</f>
        <v/>
      </c>
    </row>
    <row r="324" ht="16" customHeight="1">
      <c r="A324" s="2" t="inlineStr">
        <is>
          <t>5434</t>
        </is>
      </c>
      <c r="B324" s="2" t="inlineStr">
        <is>
          <t>崇越</t>
        </is>
      </c>
      <c r="C324" s="2" t="inlineStr">
        <is>
          <t>電子工業</t>
        </is>
      </c>
      <c r="D324" s="3" t="n">
        <v>13.58</v>
      </c>
      <c r="E324" s="3" t="n">
        <v>7.72</v>
      </c>
      <c r="F324" s="3" t="n">
        <v>7.2</v>
      </c>
      <c r="G324" s="3" t="n">
        <v>13.5</v>
      </c>
      <c r="H324" s="3" t="n">
        <v>7.12</v>
      </c>
      <c r="I324" s="3" t="n">
        <v>7.41</v>
      </c>
      <c r="J324" s="4">
        <f>IF(OR(D324="",G324=""),"",G324-D324)</f>
        <v/>
      </c>
      <c r="K324" s="4">
        <f>IF(OR(E324="",H324=""),"",H324-E324)</f>
        <v/>
      </c>
      <c r="L324" s="4">
        <f>IF(OR(F324="",I324=""),"",I324-F324)</f>
        <v/>
      </c>
      <c r="M324" s="3" t="n">
        <v>6.86</v>
      </c>
      <c r="N324" s="3" t="n">
        <v>14.79</v>
      </c>
      <c r="O324" s="3" t="n">
        <v>7.93</v>
      </c>
      <c r="P324" s="3" t="n">
        <v>19.69</v>
      </c>
      <c r="Q324" s="3" t="n">
        <v>559</v>
      </c>
      <c r="R324" s="3" t="n">
        <v>13.42</v>
      </c>
      <c r="S324" s="3">
        <f>IF(OR(Q324="",R324="",Q324=0),"",R324/Q324*100)</f>
        <v/>
      </c>
    </row>
    <row r="325" ht="16" customHeight="1">
      <c r="A325" s="2" t="inlineStr">
        <is>
          <t>5439</t>
        </is>
      </c>
      <c r="B325" s="2" t="inlineStr">
        <is>
          <t>高技</t>
        </is>
      </c>
      <c r="C325" s="2" t="inlineStr">
        <is>
          <t>電子零組件業</t>
        </is>
      </c>
      <c r="D325" s="3" t="n">
        <v>20.33</v>
      </c>
      <c r="E325" s="3" t="n">
        <v>14.48</v>
      </c>
      <c r="F325" s="3" t="n">
        <v>12.87</v>
      </c>
      <c r="G325" s="3" t="n">
        <v>22.45</v>
      </c>
      <c r="H325" s="3" t="n">
        <v>16.86</v>
      </c>
      <c r="I325" s="3" t="n">
        <v>14.14</v>
      </c>
      <c r="J325" s="4">
        <f>IF(OR(D325="",G325=""),"",G325-D325)</f>
        <v/>
      </c>
      <c r="K325" s="4">
        <f>IF(OR(E325="",H325=""),"",H325-E325)</f>
        <v/>
      </c>
      <c r="L325" s="4">
        <f>IF(OR(F325="",I325=""),"",I325-F325)</f>
        <v/>
      </c>
      <c r="M325" s="3" t="n">
        <v>3.51</v>
      </c>
      <c r="N325" s="3" t="n">
        <v>8.15</v>
      </c>
      <c r="O325" s="3" t="n">
        <v>4.64</v>
      </c>
      <c r="P325" s="3" t="n">
        <v>13.65</v>
      </c>
      <c r="Q325" s="3" t="n">
        <v>197</v>
      </c>
      <c r="R325" s="3" t="n">
        <v>7.2</v>
      </c>
      <c r="S325" s="3">
        <f>IF(OR(Q325="",R325="",Q325=0),"",R325/Q325*100)</f>
        <v/>
      </c>
    </row>
    <row r="326" ht="16" customHeight="1">
      <c r="A326" s="2" t="inlineStr">
        <is>
          <t>5443</t>
        </is>
      </c>
      <c r="B326" s="2" t="inlineStr">
        <is>
          <t>均豪</t>
        </is>
      </c>
      <c r="C326" s="2" t="inlineStr">
        <is>
          <t>光電業</t>
        </is>
      </c>
      <c r="D326" s="3" t="n">
        <v>38.34</v>
      </c>
      <c r="E326" s="3" t="n">
        <v>10.41</v>
      </c>
      <c r="F326" s="3" t="n">
        <v>9.050000000000001</v>
      </c>
      <c r="G326" s="3" t="n">
        <v>35.38</v>
      </c>
      <c r="H326" s="3" t="n">
        <v>1.89</v>
      </c>
      <c r="I326" s="3" t="n">
        <v>19.7</v>
      </c>
      <c r="J326" s="4">
        <f>IF(OR(D326="",G326=""),"",G326-D326)</f>
        <v/>
      </c>
      <c r="K326" s="4">
        <f>IF(OR(E326="",H326=""),"",H326-E326)</f>
        <v/>
      </c>
      <c r="L326" s="4">
        <f>IF(OR(F326="",I326=""),"",I326-F326)</f>
        <v/>
      </c>
      <c r="M326" s="3" t="n">
        <v>0.19</v>
      </c>
      <c r="N326" s="3" t="n">
        <v>0.65</v>
      </c>
      <c r="O326" s="3" t="n">
        <v>0.46</v>
      </c>
      <c r="P326" s="3" t="n">
        <v>46.7</v>
      </c>
      <c r="Q326" s="3" t="n">
        <v>97.5</v>
      </c>
      <c r="R326" s="3" t="n">
        <v>2.2</v>
      </c>
      <c r="S326" s="3">
        <f>IF(OR(Q326="",R326="",Q326=0),"",R326/Q326*100)</f>
        <v/>
      </c>
    </row>
    <row r="327" ht="16" customHeight="1">
      <c r="A327" s="2" t="inlineStr">
        <is>
          <t>5469</t>
        </is>
      </c>
      <c r="B327" s="2" t="inlineStr">
        <is>
          <t>瀚宇博</t>
        </is>
      </c>
      <c r="C327" s="2" t="inlineStr">
        <is>
          <t>電子工業</t>
        </is>
      </c>
      <c r="D327" s="3" t="n">
        <v>16.2</v>
      </c>
      <c r="E327" s="3" t="n">
        <v>7.89</v>
      </c>
      <c r="F327" s="3" t="n">
        <v>6.72</v>
      </c>
      <c r="G327" s="3" t="n">
        <v>15.06</v>
      </c>
      <c r="H327" s="3" t="n">
        <v>6.86</v>
      </c>
      <c r="I327" s="3" t="n">
        <v>3.45</v>
      </c>
      <c r="J327" s="4">
        <f>IF(OR(D327="",G327=""),"",G327-D327)</f>
        <v/>
      </c>
      <c r="K327" s="4">
        <f>IF(OR(E327="",H327=""),"",H327-E327)</f>
        <v/>
      </c>
      <c r="L327" s="4">
        <f>IF(OR(F327="",I327=""),"",I327-F327)</f>
        <v/>
      </c>
      <c r="M327" s="3" t="n">
        <v>1.23</v>
      </c>
      <c r="N327" s="3" t="n">
        <v>2.05</v>
      </c>
      <c r="O327" s="3" t="n">
        <v>0.82</v>
      </c>
      <c r="P327" s="3" t="n">
        <v>13.07</v>
      </c>
      <c r="Q327" s="3" t="n">
        <v>68.40000000000001</v>
      </c>
      <c r="R327" s="3" t="n">
        <v>2.52</v>
      </c>
      <c r="S327" s="3">
        <f>IF(OR(Q327="",R327="",Q327=0),"",R327/Q327*100)</f>
        <v/>
      </c>
    </row>
    <row r="328" ht="16" customHeight="1">
      <c r="A328" s="2" t="inlineStr">
        <is>
          <t>5475</t>
        </is>
      </c>
      <c r="B328" s="2" t="inlineStr">
        <is>
          <t>德宏</t>
        </is>
      </c>
      <c r="C328" s="2" t="inlineStr">
        <is>
          <t>電子零組件</t>
        </is>
      </c>
      <c r="D328" s="3" t="n">
        <v>28.32</v>
      </c>
      <c r="E328" s="3" t="n">
        <v>8.83</v>
      </c>
      <c r="F328" s="3" t="n">
        <v>9.67</v>
      </c>
      <c r="G328" s="3" t="n">
        <v>36.62</v>
      </c>
      <c r="H328" s="3" t="n">
        <v>23.66</v>
      </c>
      <c r="I328" s="3" t="n">
        <v>23.62</v>
      </c>
      <c r="J328" s="4">
        <f>IF(OR(D328="",G328=""),"",G328-D328)</f>
        <v/>
      </c>
      <c r="K328" s="4">
        <f>IF(OR(E328="",H328=""),"",H328-E328)</f>
        <v/>
      </c>
      <c r="L328" s="4">
        <f>IF(OR(F328="",I328=""),"",I328-F328)</f>
        <v/>
      </c>
      <c r="M328" s="3" t="n">
        <v>0.24</v>
      </c>
      <c r="N328" s="3" t="n">
        <v>1.18</v>
      </c>
      <c r="O328" s="3" t="n">
        <v>0.9399999999999999</v>
      </c>
      <c r="P328" s="3" t="n">
        <v>132.17</v>
      </c>
      <c r="Q328" s="3" t="n">
        <v>177</v>
      </c>
      <c r="R328" s="3" t="n"/>
      <c r="S328" s="3">
        <f>IF(OR(Q328="",R328="",Q328=0),"",R328/Q328*100)</f>
        <v/>
      </c>
    </row>
    <row r="329" ht="16" customHeight="1">
      <c r="A329" s="2" t="inlineStr">
        <is>
          <t>5478</t>
        </is>
      </c>
      <c r="B329" s="2" t="inlineStr">
        <is>
          <t>智冠</t>
        </is>
      </c>
      <c r="C329" s="2" t="inlineStr">
        <is>
          <t>櫃文化創意</t>
        </is>
      </c>
      <c r="D329" s="3" t="n">
        <v>56.02</v>
      </c>
      <c r="E329" s="3" t="n">
        <v>22.33</v>
      </c>
      <c r="F329" s="3" t="n">
        <v>20.31</v>
      </c>
      <c r="G329" s="3" t="n">
        <v>59.02</v>
      </c>
      <c r="H329" s="3" t="n">
        <v>21.85</v>
      </c>
      <c r="I329" s="3" t="n">
        <v>21.06</v>
      </c>
      <c r="J329" s="4">
        <f>IF(OR(D329="",G329=""),"",G329-D329)</f>
        <v/>
      </c>
      <c r="K329" s="4">
        <f>IF(OR(E329="",H329=""),"",H329-E329)</f>
        <v/>
      </c>
      <c r="L329" s="4">
        <f>IF(OR(F329="",I329=""),"",I329-F329)</f>
        <v/>
      </c>
      <c r="M329" s="3" t="n">
        <v>2.39</v>
      </c>
      <c r="N329" s="3" t="n">
        <v>4.71</v>
      </c>
      <c r="O329" s="3" t="n">
        <v>2.32</v>
      </c>
      <c r="P329" s="3" t="n">
        <v>12.16</v>
      </c>
      <c r="Q329" s="3" t="n">
        <v>96.8</v>
      </c>
      <c r="R329" s="3" t="n">
        <v>7.5</v>
      </c>
      <c r="S329" s="3">
        <f>IF(OR(Q329="",R329="",Q329=0),"",R329/Q329*100)</f>
        <v/>
      </c>
    </row>
    <row r="330" ht="16" customHeight="1">
      <c r="A330" s="2" t="inlineStr">
        <is>
          <t>5483</t>
        </is>
      </c>
      <c r="B330" s="2" t="inlineStr">
        <is>
          <t>中美晶</t>
        </is>
      </c>
      <c r="C330" s="2" t="inlineStr">
        <is>
          <t>半導體業</t>
        </is>
      </c>
      <c r="D330" s="3" t="n">
        <v>23.24</v>
      </c>
      <c r="E330" s="3" t="n">
        <v>11.88</v>
      </c>
      <c r="F330" s="3" t="n">
        <v>13.46</v>
      </c>
      <c r="G330" s="3" t="n">
        <v>22.65</v>
      </c>
      <c r="H330" s="3" t="n">
        <v>10.63</v>
      </c>
      <c r="I330" s="3" t="n">
        <v>21.09</v>
      </c>
      <c r="J330" s="4">
        <f>IF(OR(D330="",G330=""),"",G330-D330)</f>
        <v/>
      </c>
      <c r="K330" s="4">
        <f>IF(OR(E330="",H330=""),"",H330-E330)</f>
        <v/>
      </c>
      <c r="L330" s="4">
        <f>IF(OR(F330="",I330=""),"",I330-F330)</f>
        <v/>
      </c>
      <c r="M330" s="3" t="n">
        <v>1.83</v>
      </c>
      <c r="N330" s="3" t="n">
        <v>4.95</v>
      </c>
      <c r="O330" s="3" t="n">
        <v>3.12</v>
      </c>
      <c r="P330" s="3" t="n">
        <v>20.96</v>
      </c>
      <c r="Q330" s="3" t="n">
        <v>174</v>
      </c>
      <c r="R330" s="3" t="n">
        <v>2.5</v>
      </c>
      <c r="S330" s="3">
        <f>IF(OR(Q330="",R330="",Q330=0),"",R330/Q330*100)</f>
        <v/>
      </c>
    </row>
    <row r="331" ht="16" customHeight="1">
      <c r="A331" s="2" t="inlineStr">
        <is>
          <t>5522</t>
        </is>
      </c>
      <c r="B331" s="2" t="inlineStr">
        <is>
          <t>遠雄</t>
        </is>
      </c>
      <c r="C331" s="2" t="inlineStr">
        <is>
          <t>建材營造</t>
        </is>
      </c>
      <c r="D331" s="3" t="n">
        <v>36.85</v>
      </c>
      <c r="E331" s="3" t="n">
        <v>26.72</v>
      </c>
      <c r="F331" s="3" t="n">
        <v>24.34</v>
      </c>
      <c r="G331" s="3" t="n">
        <v>32.87</v>
      </c>
      <c r="H331" s="3" t="n">
        <v>17.76</v>
      </c>
      <c r="I331" s="3" t="n">
        <v>6.23</v>
      </c>
      <c r="J331" s="4">
        <f>IF(OR(D331="",G331=""),"",G331-D331)</f>
        <v/>
      </c>
      <c r="K331" s="4">
        <f>IF(OR(E331="",H331=""),"",H331-E331)</f>
        <v/>
      </c>
      <c r="L331" s="4">
        <f>IF(OR(F331="",I331=""),"",I331-F331)</f>
        <v/>
      </c>
      <c r="M331" s="3" t="n">
        <v>1.76</v>
      </c>
      <c r="N331" s="3" t="n">
        <v>1.99</v>
      </c>
      <c r="O331" s="3" t="n">
        <v>0.23</v>
      </c>
      <c r="P331" s="3" t="n">
        <v>6.19</v>
      </c>
      <c r="Q331" s="3" t="n">
        <v>60.8</v>
      </c>
      <c r="R331" s="3" t="n">
        <v>5.5</v>
      </c>
      <c r="S331" s="3">
        <f>IF(OR(Q331="",R331="",Q331=0),"",R331/Q331*100)</f>
        <v/>
      </c>
    </row>
    <row r="332" ht="16" customHeight="1">
      <c r="A332" s="2" t="inlineStr">
        <is>
          <t>5530</t>
        </is>
      </c>
      <c r="B332" s="2" t="inlineStr">
        <is>
          <t>龍巖</t>
        </is>
      </c>
      <c r="C332" s="2" t="inlineStr">
        <is>
          <t>其他</t>
        </is>
      </c>
      <c r="D332" s="3" t="n">
        <v>62.02</v>
      </c>
      <c r="E332" s="3" t="n">
        <v>29.78</v>
      </c>
      <c r="F332" s="3" t="n">
        <v>37.7</v>
      </c>
      <c r="G332" s="3" t="n">
        <v>59.92</v>
      </c>
      <c r="H332" s="3" t="n">
        <v>22.41</v>
      </c>
      <c r="I332" s="3" t="n">
        <v>31.29</v>
      </c>
      <c r="J332" s="4">
        <f>IF(OR(D332="",G332=""),"",G332-D332)</f>
        <v/>
      </c>
      <c r="K332" s="4">
        <f>IF(OR(E332="",H332=""),"",H332-E332)</f>
        <v/>
      </c>
      <c r="L332" s="4">
        <f>IF(OR(F332="",I332=""),"",I332-F332)</f>
        <v/>
      </c>
      <c r="M332" s="3" t="n">
        <v>0.95</v>
      </c>
      <c r="N332" s="3" t="n">
        <v>1.68</v>
      </c>
      <c r="O332" s="3" t="n">
        <v>0.73</v>
      </c>
      <c r="P332" s="3" t="n">
        <v>15.16</v>
      </c>
      <c r="Q332" s="3" t="n">
        <v>47.25</v>
      </c>
      <c r="R332" s="3" t="n"/>
      <c r="S332" s="3">
        <f>IF(OR(Q332="",R332="",Q332=0),"",R332/Q332*100)</f>
        <v/>
      </c>
    </row>
    <row r="333" ht="16" customHeight="1">
      <c r="A333" s="2" t="inlineStr">
        <is>
          <t>5534</t>
        </is>
      </c>
      <c r="B333" s="2" t="inlineStr">
        <is>
          <t>長虹</t>
        </is>
      </c>
      <c r="C333" s="2" t="inlineStr">
        <is>
          <t>營建</t>
        </is>
      </c>
      <c r="D333" s="3" t="n">
        <v>63.09</v>
      </c>
      <c r="E333" s="3" t="n">
        <v>8.609999999999999</v>
      </c>
      <c r="F333" s="3" t="n">
        <v>6.46</v>
      </c>
      <c r="G333" s="3" t="n">
        <v>30.42</v>
      </c>
      <c r="H333" s="3" t="n">
        <v>22.81</v>
      </c>
      <c r="I333" s="3" t="n">
        <v>18.48</v>
      </c>
      <c r="J333" s="4">
        <f>IF(OR(D333="",G333=""),"",G333-D333)</f>
        <v/>
      </c>
      <c r="K333" s="4">
        <f>IF(OR(E333="",H333=""),"",H333-E333)</f>
        <v/>
      </c>
      <c r="L333" s="4">
        <f>IF(OR(F333="",I333=""),"",I333-F333)</f>
        <v/>
      </c>
      <c r="M333" s="3" t="n">
        <v>0.19</v>
      </c>
      <c r="N333" s="3" t="n">
        <v>1.03</v>
      </c>
      <c r="O333" s="3" t="n">
        <v>0.84</v>
      </c>
      <c r="P333" s="3" t="n">
        <v>13.42</v>
      </c>
      <c r="Q333" s="3" t="n">
        <v>67.7</v>
      </c>
      <c r="R333" s="3" t="n">
        <v>5.06</v>
      </c>
      <c r="S333" s="3">
        <f>IF(OR(Q333="",R333="",Q333=0),"",R333/Q333*100)</f>
        <v/>
      </c>
    </row>
    <row r="334" ht="16" customHeight="1">
      <c r="A334" s="2" t="inlineStr">
        <is>
          <t>5536</t>
        </is>
      </c>
      <c r="B334" s="2" t="inlineStr">
        <is>
          <t>聖暉</t>
        </is>
      </c>
      <c r="C334" s="2" t="inlineStr">
        <is>
          <t>其他電子類</t>
        </is>
      </c>
      <c r="D334" s="3" t="n">
        <v>25.38</v>
      </c>
      <c r="E334" s="3" t="n">
        <v>19.82</v>
      </c>
      <c r="F334" s="3" t="n">
        <v>15.71</v>
      </c>
      <c r="G334" s="3" t="n">
        <v>20.64</v>
      </c>
      <c r="H334" s="3" t="n">
        <v>15.88</v>
      </c>
      <c r="I334" s="3" t="n">
        <v>12.96</v>
      </c>
      <c r="J334" s="4">
        <f>IF(OR(D334="",G334=""),"",G334-D334)</f>
        <v/>
      </c>
      <c r="K334" s="4">
        <f>IF(OR(E334="",H334=""),"",H334-E334)</f>
        <v/>
      </c>
      <c r="L334" s="4">
        <f>IF(OR(F334="",I334=""),"",I334-F334)</f>
        <v/>
      </c>
      <c r="M334" s="3" t="n">
        <v>12.76</v>
      </c>
      <c r="N334" s="3" t="n">
        <v>24.9</v>
      </c>
      <c r="O334" s="3" t="n">
        <v>12.14</v>
      </c>
      <c r="P334" s="3" t="n">
        <v>21.94</v>
      </c>
      <c r="Q334" s="3" t="n">
        <v>760</v>
      </c>
      <c r="R334" s="3" t="n">
        <v>20</v>
      </c>
      <c r="S334" s="3">
        <f>IF(OR(Q334="",R334="",Q334=0),"",R334/Q334*100)</f>
        <v/>
      </c>
    </row>
    <row r="335" ht="16" customHeight="1">
      <c r="A335" s="2" t="inlineStr">
        <is>
          <t>5607</t>
        </is>
      </c>
      <c r="B335" s="2" t="inlineStr">
        <is>
          <t>遠雄港</t>
        </is>
      </c>
      <c r="C335" s="2" t="inlineStr">
        <is>
          <t>航運</t>
        </is>
      </c>
      <c r="D335" s="3" t="n">
        <v>48.39</v>
      </c>
      <c r="E335" s="3" t="n">
        <v>44.22</v>
      </c>
      <c r="F335" s="3" t="n">
        <v>29.92</v>
      </c>
      <c r="G335" s="3" t="n">
        <v>54.47</v>
      </c>
      <c r="H335" s="3" t="n">
        <v>47.27</v>
      </c>
      <c r="I335" s="3" t="n">
        <v>32.46</v>
      </c>
      <c r="J335" s="4">
        <f>IF(OR(D335="",G335=""),"",G335-D335)</f>
        <v/>
      </c>
      <c r="K335" s="4">
        <f>IF(OR(E335="",H335=""),"",H335-E335)</f>
        <v/>
      </c>
      <c r="L335" s="4">
        <f>IF(OR(F335="",I335=""),"",I335-F335)</f>
        <v/>
      </c>
      <c r="M335" s="3" t="n">
        <v>0.98</v>
      </c>
      <c r="N335" s="3" t="n">
        <v>2.18</v>
      </c>
      <c r="O335" s="3" t="n">
        <v>1.2</v>
      </c>
      <c r="P335" s="3" t="n">
        <v>15.21</v>
      </c>
      <c r="Q335" s="3" t="n">
        <v>51.1</v>
      </c>
      <c r="R335" s="3" t="n">
        <v>1.8</v>
      </c>
      <c r="S335" s="3">
        <f>IF(OR(Q335="",R335="",Q335=0),"",R335/Q335*100)</f>
        <v/>
      </c>
    </row>
    <row r="336" ht="16" customHeight="1">
      <c r="A336" s="2" t="inlineStr">
        <is>
          <t>5871</t>
        </is>
      </c>
      <c r="B336" s="2" t="inlineStr">
        <is>
          <t>中租-KY</t>
        </is>
      </c>
      <c r="C336" s="2" t="inlineStr">
        <is>
          <t>其他</t>
        </is>
      </c>
      <c r="D336" s="3" t="n">
        <v>66.62</v>
      </c>
      <c r="E336" s="3" t="n">
        <v>30.94</v>
      </c>
      <c r="F336" s="3" t="n">
        <v>24.57</v>
      </c>
      <c r="G336" s="3" t="n"/>
      <c r="H336" s="3" t="n"/>
      <c r="I336" s="3" t="n"/>
      <c r="J336" s="4">
        <f>IF(OR(D336="",G336=""),"",G336-D336)</f>
        <v/>
      </c>
      <c r="K336" s="4">
        <f>IF(OR(E336="",H336=""),"",H336-E336)</f>
        <v/>
      </c>
      <c r="L336" s="4">
        <f>IF(OR(F336="",I336=""),"",I336-F336)</f>
        <v/>
      </c>
      <c r="M336" s="3" t="n">
        <v>3.26</v>
      </c>
      <c r="N336" s="3" t="n">
        <v>5.84</v>
      </c>
      <c r="O336" s="3" t="n">
        <v>2.58</v>
      </c>
      <c r="P336" s="3" t="n">
        <v>10.44</v>
      </c>
      <c r="Q336" s="3" t="n">
        <v>105.5</v>
      </c>
      <c r="R336" s="3" t="n">
        <v>5.8</v>
      </c>
      <c r="S336" s="3">
        <f>IF(OR(Q336="",R336="",Q336=0),"",R336/Q336*100)</f>
        <v/>
      </c>
    </row>
    <row r="337" ht="16" customHeight="1">
      <c r="A337" s="2" t="inlineStr">
        <is>
          <t>5903</t>
        </is>
      </c>
      <c r="B337" s="2" t="inlineStr">
        <is>
          <t>全家</t>
        </is>
      </c>
      <c r="C337" s="2" t="inlineStr">
        <is>
          <t>貿易百貨</t>
        </is>
      </c>
      <c r="D337" s="3" t="n">
        <v>34.69</v>
      </c>
      <c r="E337" s="3" t="n">
        <v>1.03</v>
      </c>
      <c r="F337" s="3" t="n">
        <v>1.02</v>
      </c>
      <c r="G337" s="3" t="n">
        <v>35.81</v>
      </c>
      <c r="H337" s="3" t="n">
        <v>1.94</v>
      </c>
      <c r="I337" s="3" t="n">
        <v>1.97</v>
      </c>
      <c r="J337" s="4">
        <f>IF(OR(D337="",G337=""),"",G337-D337)</f>
        <v/>
      </c>
      <c r="K337" s="4">
        <f>IF(OR(E337="",H337=""),"",H337-E337)</f>
        <v/>
      </c>
      <c r="L337" s="4">
        <f>IF(OR(F337="",I337=""),"",I337-F337)</f>
        <v/>
      </c>
      <c r="M337" s="3" t="n">
        <v>1.23</v>
      </c>
      <c r="N337" s="3" t="n">
        <v>3.69</v>
      </c>
      <c r="O337" s="3" t="n">
        <v>2.46</v>
      </c>
      <c r="P337" s="3" t="n">
        <v>23.69</v>
      </c>
      <c r="Q337" s="3" t="n">
        <v>184.5</v>
      </c>
      <c r="R337" s="3" t="n">
        <v>6.5</v>
      </c>
      <c r="S337" s="3">
        <f>IF(OR(Q337="",R337="",Q337=0),"",R337/Q337*100)</f>
        <v/>
      </c>
    </row>
    <row r="338" ht="16" customHeight="1">
      <c r="A338" s="2" t="inlineStr">
        <is>
          <t>5904</t>
        </is>
      </c>
      <c r="B338" s="2" t="inlineStr">
        <is>
          <t>寶雅</t>
        </is>
      </c>
      <c r="C338" s="2" t="inlineStr">
        <is>
          <t>貿易百貨</t>
        </is>
      </c>
      <c r="D338" s="3" t="n">
        <v>45.13</v>
      </c>
      <c r="E338" s="3" t="n">
        <v>17.34</v>
      </c>
      <c r="F338" s="3" t="n">
        <v>13.95</v>
      </c>
      <c r="G338" s="3" t="n">
        <v>44.95</v>
      </c>
      <c r="H338" s="3" t="n">
        <v>15.39</v>
      </c>
      <c r="I338" s="3" t="n">
        <v>12.51</v>
      </c>
      <c r="J338" s="4">
        <f>IF(OR(D338="",G338=""),"",G338-D338)</f>
        <v/>
      </c>
      <c r="K338" s="4">
        <f>IF(OR(E338="",H338=""),"",H338-E338)</f>
        <v/>
      </c>
      <c r="L338" s="4">
        <f>IF(OR(F338="",I338=""),"",I338-F338)</f>
        <v/>
      </c>
      <c r="M338" s="3" t="n">
        <v>9.300000000000001</v>
      </c>
      <c r="N338" s="3" t="n">
        <v>17.45</v>
      </c>
      <c r="O338" s="3" t="n">
        <v>8.15</v>
      </c>
      <c r="P338" s="3" t="n">
        <v>23.24</v>
      </c>
      <c r="Q338" s="3" t="n">
        <v>72.5</v>
      </c>
      <c r="R338" s="3" t="n">
        <v>25.5</v>
      </c>
      <c r="S338" s="3">
        <f>IF(OR(Q338="",R338="",Q338=0),"",R338/Q338*100)</f>
        <v/>
      </c>
    </row>
    <row r="339" ht="16" customHeight="1">
      <c r="A339" s="2" t="inlineStr">
        <is>
          <t>6116</t>
        </is>
      </c>
      <c r="B339" s="2" t="inlineStr">
        <is>
          <t>彩晶</t>
        </is>
      </c>
      <c r="C339" s="2" t="inlineStr">
        <is>
          <t>光電業</t>
        </is>
      </c>
      <c r="D339" s="3" t="n">
        <v>-10.81</v>
      </c>
      <c r="E339" s="3" t="n">
        <v>-23.43</v>
      </c>
      <c r="F339" s="3" t="n">
        <v>-25.17</v>
      </c>
      <c r="G339" s="3" t="n">
        <v>-5.55</v>
      </c>
      <c r="H339" s="3" t="n">
        <v>-19.44</v>
      </c>
      <c r="I339" s="3" t="n">
        <v>4.46</v>
      </c>
      <c r="J339" s="4">
        <f>IF(OR(D339="",G339=""),"",G339-D339)</f>
        <v/>
      </c>
      <c r="K339" s="4">
        <f>IF(OR(E339="",H339=""),"",H339-E339)</f>
        <v/>
      </c>
      <c r="L339" s="4">
        <f>IF(OR(F339="",I339=""),"",I339-F339)</f>
        <v/>
      </c>
      <c r="M339" s="3" t="n">
        <v>-0.06</v>
      </c>
      <c r="N339" s="3" t="n">
        <v>-0.02</v>
      </c>
      <c r="O339" s="3" t="n">
        <v>0.04</v>
      </c>
      <c r="P339" s="3" t="n"/>
      <c r="Q339" s="3" t="n">
        <v>13.3</v>
      </c>
      <c r="R339" s="3" t="n"/>
      <c r="S339" s="3">
        <f>IF(OR(Q339="",R339="",Q339=0),"",R339/Q339*100)</f>
        <v/>
      </c>
    </row>
    <row r="340" ht="16" customHeight="1">
      <c r="A340" s="2" t="inlineStr">
        <is>
          <t>6121</t>
        </is>
      </c>
      <c r="B340" s="2" t="inlineStr">
        <is>
          <t>新普</t>
        </is>
      </c>
      <c r="C340" s="2" t="inlineStr">
        <is>
          <t>電腦及週邊設備業</t>
        </is>
      </c>
      <c r="D340" s="3" t="n">
        <v>17.95</v>
      </c>
      <c r="E340" s="3" t="n">
        <v>11.05</v>
      </c>
      <c r="F340" s="3" t="n">
        <v>9.07</v>
      </c>
      <c r="G340" s="3" t="n">
        <v>18.29</v>
      </c>
      <c r="H340" s="3" t="n">
        <v>11.88</v>
      </c>
      <c r="I340" s="3" t="n">
        <v>10.37</v>
      </c>
      <c r="J340" s="4">
        <f>IF(OR(D340="",G340=""),"",G340-D340)</f>
        <v/>
      </c>
      <c r="K340" s="4">
        <f>IF(OR(E340="",H340=""),"",H340-E340)</f>
        <v/>
      </c>
      <c r="L340" s="4">
        <f>IF(OR(F340="",I340=""),"",I340-F340)</f>
        <v/>
      </c>
      <c r="M340" s="3" t="n">
        <v>6.83</v>
      </c>
      <c r="N340" s="3" t="n">
        <v>15.67</v>
      </c>
      <c r="O340" s="3" t="n">
        <v>8.84</v>
      </c>
      <c r="P340" s="3" t="n">
        <v>12.44</v>
      </c>
      <c r="Q340" s="3" t="n">
        <v>372.5</v>
      </c>
      <c r="R340" s="3" t="n">
        <v>12.3</v>
      </c>
      <c r="S340" s="3">
        <f>IF(OR(Q340="",R340="",Q340=0),"",R340/Q340*100)</f>
        <v/>
      </c>
    </row>
    <row r="341" ht="16" customHeight="1">
      <c r="A341" s="2" t="inlineStr">
        <is>
          <t>6125</t>
        </is>
      </c>
      <c r="B341" s="2" t="inlineStr">
        <is>
          <t>廣運</t>
        </is>
      </c>
      <c r="C341" s="2" t="inlineStr">
        <is>
          <t>光電業</t>
        </is>
      </c>
      <c r="D341" s="3" t="n">
        <v>25.09</v>
      </c>
      <c r="E341" s="3" t="n">
        <v>-9.31</v>
      </c>
      <c r="F341" s="3" t="n">
        <v>-3.48</v>
      </c>
      <c r="G341" s="3" t="n">
        <v>20.66</v>
      </c>
      <c r="H341" s="3" t="n">
        <v>-9.960000000000001</v>
      </c>
      <c r="I341" s="3" t="n">
        <v>-7.11</v>
      </c>
      <c r="J341" s="4">
        <f>IF(OR(D341="",G341=""),"",G341-D341)</f>
        <v/>
      </c>
      <c r="K341" s="4">
        <f>IF(OR(E341="",H341=""),"",H341-E341)</f>
        <v/>
      </c>
      <c r="L341" s="4">
        <f>IF(OR(F341="",I341=""),"",I341-F341)</f>
        <v/>
      </c>
      <c r="M341" s="3" t="n">
        <v>0.16</v>
      </c>
      <c r="N341" s="3" t="n">
        <v>0.59</v>
      </c>
      <c r="O341" s="3" t="n">
        <v>0.43</v>
      </c>
      <c r="P341" s="3" t="n">
        <v>177.93</v>
      </c>
      <c r="Q341" s="3" t="n">
        <v>44.8</v>
      </c>
      <c r="R341" s="3" t="n">
        <v>0.1</v>
      </c>
      <c r="S341" s="3">
        <f>IF(OR(Q341="",R341="",Q341=0),"",R341/Q341*100)</f>
        <v/>
      </c>
    </row>
    <row r="342" ht="16" customHeight="1">
      <c r="A342" s="2" t="inlineStr">
        <is>
          <t>6138</t>
        </is>
      </c>
      <c r="B342" s="2" t="inlineStr">
        <is>
          <t>茂達</t>
        </is>
      </c>
      <c r="C342" s="2" t="inlineStr">
        <is>
          <t>半導體業</t>
        </is>
      </c>
      <c r="D342" s="3" t="n">
        <v>38.39</v>
      </c>
      <c r="E342" s="3" t="n">
        <v>19.52</v>
      </c>
      <c r="F342" s="3" t="n">
        <v>17.6</v>
      </c>
      <c r="G342" s="3" t="n">
        <v>38.96</v>
      </c>
      <c r="H342" s="3" t="n">
        <v>19.87</v>
      </c>
      <c r="I342" s="3" t="n">
        <v>17.9</v>
      </c>
      <c r="J342" s="4">
        <f>IF(OR(D342="",G342=""),"",G342-D342)</f>
        <v/>
      </c>
      <c r="K342" s="4">
        <f>IF(OR(E342="",H342=""),"",H342-E342)</f>
        <v/>
      </c>
      <c r="L342" s="4">
        <f>IF(OR(F342="",I342=""),"",I342-F342)</f>
        <v/>
      </c>
      <c r="M342" s="3" t="n">
        <v>3.68</v>
      </c>
      <c r="N342" s="3" t="n">
        <v>7.58</v>
      </c>
      <c r="O342" s="3" t="n">
        <v>3.9</v>
      </c>
      <c r="P342" s="3" t="n">
        <v>19.84</v>
      </c>
      <c r="Q342" s="3" t="n">
        <v>242</v>
      </c>
      <c r="R342" s="3" t="n">
        <v>10.15</v>
      </c>
      <c r="S342" s="3">
        <f>IF(OR(Q342="",R342="",Q342=0),"",R342/Q342*100)</f>
        <v/>
      </c>
    </row>
    <row r="343" ht="16" customHeight="1">
      <c r="A343" s="2" t="inlineStr">
        <is>
          <t>6139</t>
        </is>
      </c>
      <c r="B343" s="2" t="inlineStr">
        <is>
          <t>亞翔</t>
        </is>
      </c>
      <c r="C343" s="2" t="inlineStr">
        <is>
          <t>其他電子業</t>
        </is>
      </c>
      <c r="D343" s="3" t="n">
        <v>18.73</v>
      </c>
      <c r="E343" s="3" t="n">
        <v>17.21</v>
      </c>
      <c r="F343" s="3" t="n">
        <v>14.67</v>
      </c>
      <c r="G343" s="3" t="n">
        <v>21.29</v>
      </c>
      <c r="H343" s="3" t="n">
        <v>18.97</v>
      </c>
      <c r="I343" s="3" t="n">
        <v>19.34</v>
      </c>
      <c r="J343" s="4">
        <f>IF(OR(D343="",G343=""),"",G343-D343)</f>
        <v/>
      </c>
      <c r="K343" s="4">
        <f>IF(OR(E343="",H343=""),"",H343-E343)</f>
        <v/>
      </c>
      <c r="L343" s="4">
        <f>IF(OR(F343="",I343=""),"",I343-F343)</f>
        <v/>
      </c>
      <c r="M343" s="3" t="n">
        <v>9.449999999999999</v>
      </c>
      <c r="N343" s="3" t="n">
        <v>25.15</v>
      </c>
      <c r="O343" s="3" t="n">
        <v>15.7</v>
      </c>
      <c r="P343" s="3" t="n">
        <v>16.08</v>
      </c>
      <c r="Q343" s="3" t="n">
        <v>636</v>
      </c>
      <c r="R343" s="3" t="n">
        <v>23</v>
      </c>
      <c r="S343" s="3">
        <f>IF(OR(Q343="",R343="",Q343=0),"",R343/Q343*100)</f>
        <v/>
      </c>
    </row>
    <row r="344" ht="16" customHeight="1">
      <c r="A344" s="2" t="inlineStr">
        <is>
          <t>6146</t>
        </is>
      </c>
      <c r="B344" s="2" t="inlineStr">
        <is>
          <t>耕興</t>
        </is>
      </c>
      <c r="C344" s="2" t="inlineStr">
        <is>
          <t>其他電子類</t>
        </is>
      </c>
      <c r="D344" s="3" t="n">
        <v>46.58</v>
      </c>
      <c r="E344" s="3" t="n">
        <v>30.59</v>
      </c>
      <c r="F344" s="3" t="n">
        <v>26.44</v>
      </c>
      <c r="G344" s="3" t="n">
        <v>46.64</v>
      </c>
      <c r="H344" s="3" t="n">
        <v>31.34</v>
      </c>
      <c r="I344" s="3" t="n">
        <v>25.82</v>
      </c>
      <c r="J344" s="4">
        <f>IF(OR(D344="",G344=""),"",G344-D344)</f>
        <v/>
      </c>
      <c r="K344" s="4">
        <f>IF(OR(E344="",H344=""),"",H344-E344)</f>
        <v/>
      </c>
      <c r="L344" s="4">
        <f>IF(OR(F344="",I344=""),"",I344-F344)</f>
        <v/>
      </c>
      <c r="M344" s="3" t="n">
        <v>2.97</v>
      </c>
      <c r="N344" s="3" t="n">
        <v>5.99</v>
      </c>
      <c r="O344" s="3" t="n">
        <v>3.02</v>
      </c>
      <c r="P344" s="3" t="n">
        <v>17</v>
      </c>
      <c r="Q344" s="3" t="n">
        <v>210.5</v>
      </c>
      <c r="R344" s="3" t="n">
        <v>12</v>
      </c>
      <c r="S344" s="3">
        <f>IF(OR(Q344="",R344="",Q344=0),"",R344/Q344*100)</f>
        <v/>
      </c>
    </row>
    <row r="345" ht="16" customHeight="1">
      <c r="A345" s="2" t="inlineStr">
        <is>
          <t>6147</t>
        </is>
      </c>
      <c r="B345" s="2" t="inlineStr">
        <is>
          <t>頎邦</t>
        </is>
      </c>
      <c r="C345" s="2" t="inlineStr">
        <is>
          <t>半導體業</t>
        </is>
      </c>
      <c r="D345" s="3" t="n">
        <v>23.46</v>
      </c>
      <c r="E345" s="3" t="n">
        <v>13.69</v>
      </c>
      <c r="F345" s="3" t="n">
        <v>7.6</v>
      </c>
      <c r="G345" s="3" t="n">
        <v>30.29</v>
      </c>
      <c r="H345" s="3" t="n">
        <v>19.28</v>
      </c>
      <c r="I345" s="3" t="n">
        <v>14.33</v>
      </c>
      <c r="J345" s="4">
        <f>IF(OR(D345="",G345=""),"",G345-D345)</f>
        <v/>
      </c>
      <c r="K345" s="4">
        <f>IF(OR(E345="",H345=""),"",H345-E345)</f>
        <v/>
      </c>
      <c r="L345" s="4">
        <f>IF(OR(F345="",I345=""),"",I345-F345)</f>
        <v/>
      </c>
      <c r="M345" s="3" t="n">
        <v>0.59</v>
      </c>
      <c r="N345" s="3" t="n">
        <v>1.87</v>
      </c>
      <c r="O345" s="3" t="n">
        <v>1.28</v>
      </c>
      <c r="P345" s="3" t="n">
        <v>38.04</v>
      </c>
      <c r="Q345" s="3" t="n">
        <v>196</v>
      </c>
      <c r="R345" s="3" t="n">
        <v>2.8</v>
      </c>
      <c r="S345" s="3">
        <f>IF(OR(Q345="",R345="",Q345=0),"",R345/Q345*100)</f>
        <v/>
      </c>
    </row>
    <row r="346" ht="16" customHeight="1">
      <c r="A346" s="2" t="inlineStr">
        <is>
          <t>6166</t>
        </is>
      </c>
      <c r="B346" s="2" t="inlineStr">
        <is>
          <t>凌華</t>
        </is>
      </c>
      <c r="C346" s="2" t="inlineStr">
        <is>
          <t>電腦週邊</t>
        </is>
      </c>
      <c r="D346" s="3" t="n">
        <v>37.57</v>
      </c>
      <c r="E346" s="3" t="n">
        <v>12.12</v>
      </c>
      <c r="F346" s="3" t="n">
        <v>9.869999999999999</v>
      </c>
      <c r="G346" s="3" t="n">
        <v>34.88</v>
      </c>
      <c r="H346" s="3" t="n">
        <v>5.42</v>
      </c>
      <c r="I346" s="3" t="n">
        <v>-0.66</v>
      </c>
      <c r="J346" s="4">
        <f>IF(OR(D346="",G346=""),"",G346-D346)</f>
        <v/>
      </c>
      <c r="K346" s="4">
        <f>IF(OR(E346="",H346=""),"",H346-E346)</f>
        <v/>
      </c>
      <c r="L346" s="4">
        <f>IF(OR(F346="",I346=""),"",I346-F346)</f>
        <v/>
      </c>
      <c r="M346" s="3" t="n">
        <v>1.57</v>
      </c>
      <c r="N346" s="3" t="n">
        <v>1.48</v>
      </c>
      <c r="O346" s="3" t="n">
        <v>-0.09</v>
      </c>
      <c r="P346" s="3" t="n">
        <v>22.62</v>
      </c>
      <c r="Q346" s="3" t="n">
        <v>103.5</v>
      </c>
      <c r="R346" s="3" t="n">
        <v>1.2</v>
      </c>
      <c r="S346" s="3">
        <f>IF(OR(Q346="",R346="",Q346=0),"",R346/Q346*100)</f>
        <v/>
      </c>
    </row>
    <row r="347" ht="16" customHeight="1">
      <c r="A347" s="2" t="inlineStr">
        <is>
          <t>6173</t>
        </is>
      </c>
      <c r="B347" s="2" t="inlineStr">
        <is>
          <t>信昌電</t>
        </is>
      </c>
      <c r="C347" s="2" t="inlineStr">
        <is>
          <t>電子零組件業</t>
        </is>
      </c>
      <c r="D347" s="3" t="n">
        <v>30.45</v>
      </c>
      <c r="E347" s="3" t="n">
        <v>20.36</v>
      </c>
      <c r="F347" s="3" t="n">
        <v>20.13</v>
      </c>
      <c r="G347" s="3" t="n">
        <v>28.85</v>
      </c>
      <c r="H347" s="3" t="n">
        <v>22.27</v>
      </c>
      <c r="I347" s="3" t="n">
        <v>22.28</v>
      </c>
      <c r="J347" s="4">
        <f>IF(OR(D347="",G347=""),"",G347-D347)</f>
        <v/>
      </c>
      <c r="K347" s="4">
        <f>IF(OR(E347="",H347=""),"",H347-E347)</f>
        <v/>
      </c>
      <c r="L347" s="4">
        <f>IF(OR(F347="",I347=""),"",I347-F347)</f>
        <v/>
      </c>
      <c r="M347" s="3" t="n">
        <v>1.19</v>
      </c>
      <c r="N347" s="3" t="n">
        <v>2.98</v>
      </c>
      <c r="O347" s="3" t="n">
        <v>1.79</v>
      </c>
      <c r="P347" s="3" t="n">
        <v>38.27</v>
      </c>
      <c r="Q347" s="3" t="n">
        <v>270.5</v>
      </c>
      <c r="R347" s="3" t="n">
        <v>1.8</v>
      </c>
      <c r="S347" s="3">
        <f>IF(OR(Q347="",R347="",Q347=0),"",R347/Q347*100)</f>
        <v/>
      </c>
    </row>
    <row r="348" ht="16" customHeight="1">
      <c r="A348" s="2" t="inlineStr">
        <is>
          <t>6176</t>
        </is>
      </c>
      <c r="B348" s="2" t="inlineStr">
        <is>
          <t>瑞儀</t>
        </is>
      </c>
      <c r="C348" s="2" t="inlineStr">
        <is>
          <t>光電業</t>
        </is>
      </c>
      <c r="D348" s="3" t="n">
        <v>22.39</v>
      </c>
      <c r="E348" s="3" t="n">
        <v>11.95</v>
      </c>
      <c r="F348" s="3" t="n">
        <v>8.73</v>
      </c>
      <c r="G348" s="3" t="n">
        <v>21.39</v>
      </c>
      <c r="H348" s="3" t="n">
        <v>8.130000000000001</v>
      </c>
      <c r="I348" s="3" t="n">
        <v>2.17</v>
      </c>
      <c r="J348" s="4">
        <f>IF(OR(D348="",G348=""),"",G348-D348)</f>
        <v/>
      </c>
      <c r="K348" s="4">
        <f>IF(OR(E348="",H348=""),"",H348-E348)</f>
        <v/>
      </c>
      <c r="L348" s="4">
        <f>IF(OR(F348="",I348=""),"",I348-F348)</f>
        <v/>
      </c>
      <c r="M348" s="3" t="n">
        <v>2.29</v>
      </c>
      <c r="N348" s="3" t="n">
        <v>2.81</v>
      </c>
      <c r="O348" s="3" t="n">
        <v>0.52</v>
      </c>
      <c r="P348" s="3" t="n">
        <v>10.05</v>
      </c>
      <c r="Q348" s="3" t="n">
        <v>87.5</v>
      </c>
      <c r="R348" s="3" t="n">
        <v>3.5</v>
      </c>
      <c r="S348" s="3">
        <f>IF(OR(Q348="",R348="",Q348=0),"",R348/Q348*100)</f>
        <v/>
      </c>
    </row>
    <row r="349" ht="16" customHeight="1">
      <c r="A349" s="2" t="inlineStr">
        <is>
          <t>6177</t>
        </is>
      </c>
      <c r="B349" s="2" t="inlineStr">
        <is>
          <t>達麗</t>
        </is>
      </c>
      <c r="C349" s="2" t="inlineStr">
        <is>
          <t>建材營造</t>
        </is>
      </c>
      <c r="D349" s="3" t="n">
        <v>50.06</v>
      </c>
      <c r="E349" s="3" t="n">
        <v>43.14</v>
      </c>
      <c r="F349" s="3" t="n">
        <v>34.55</v>
      </c>
      <c r="G349" s="3" t="n">
        <v>32.87</v>
      </c>
      <c r="H349" s="3" t="n">
        <v>25.22</v>
      </c>
      <c r="I349" s="3" t="n">
        <v>20.57</v>
      </c>
      <c r="J349" s="4">
        <f>IF(OR(D349="",G349=""),"",G349-D349)</f>
        <v/>
      </c>
      <c r="K349" s="4">
        <f>IF(OR(E349="",H349=""),"",H349-E349)</f>
        <v/>
      </c>
      <c r="L349" s="4">
        <f>IF(OR(F349="",I349=""),"",I349-F349)</f>
        <v/>
      </c>
      <c r="M349" s="3" t="n">
        <v>3.53</v>
      </c>
      <c r="N349" s="3" t="n">
        <v>5.03</v>
      </c>
      <c r="O349" s="3" t="n">
        <v>1.5</v>
      </c>
      <c r="P349" s="3" t="n">
        <v>5.24</v>
      </c>
      <c r="Q349" s="3" t="n">
        <v>44.85</v>
      </c>
      <c r="R349" s="3" t="n">
        <v>3</v>
      </c>
      <c r="S349" s="3">
        <f>IF(OR(Q349="",R349="",Q349=0),"",R349/Q349*100)</f>
        <v/>
      </c>
    </row>
    <row r="350" ht="16" customHeight="1">
      <c r="A350" s="2" t="inlineStr">
        <is>
          <t>6182</t>
        </is>
      </c>
      <c r="B350" s="2" t="inlineStr">
        <is>
          <t>合晶</t>
        </is>
      </c>
      <c r="C350" s="2" t="inlineStr">
        <is>
          <t>半導體業</t>
        </is>
      </c>
      <c r="D350" s="3" t="n">
        <v>19.03</v>
      </c>
      <c r="E350" s="3" t="n">
        <v>1.06</v>
      </c>
      <c r="F350" s="3" t="n">
        <v>0.86</v>
      </c>
      <c r="G350" s="3" t="n">
        <v>22.65</v>
      </c>
      <c r="H350" s="3" t="n">
        <v>3.34</v>
      </c>
      <c r="I350" s="3" t="n">
        <v>2.26</v>
      </c>
      <c r="J350" s="4">
        <f>IF(OR(D350="",G350=""),"",G350-D350)</f>
        <v/>
      </c>
      <c r="K350" s="4">
        <f>IF(OR(E350="",H350=""),"",H350-E350)</f>
        <v/>
      </c>
      <c r="L350" s="4">
        <f>IF(OR(F350="",I350=""),"",I350-F350)</f>
        <v/>
      </c>
      <c r="M350" s="3" t="n">
        <v>0</v>
      </c>
      <c r="N350" s="3" t="n">
        <v>0.05</v>
      </c>
      <c r="O350" s="3" t="n">
        <v>0.05</v>
      </c>
      <c r="P350" s="3" t="n">
        <v>2787.5</v>
      </c>
      <c r="Q350" s="3" t="n">
        <v>93.90000000000001</v>
      </c>
      <c r="R350" s="3" t="n">
        <v>0</v>
      </c>
      <c r="S350" s="3">
        <f>IF(OR(Q350="",R350="",Q350=0),"",R350/Q350*100)</f>
        <v/>
      </c>
    </row>
    <row r="351" ht="16" customHeight="1">
      <c r="A351" s="2" t="inlineStr">
        <is>
          <t>6187</t>
        </is>
      </c>
      <c r="B351" s="2" t="inlineStr">
        <is>
          <t>萬潤</t>
        </is>
      </c>
      <c r="C351" s="2" t="inlineStr">
        <is>
          <t>其他電子類</t>
        </is>
      </c>
      <c r="D351" s="3" t="n">
        <v>51.78</v>
      </c>
      <c r="E351" s="3" t="n">
        <v>23.22</v>
      </c>
      <c r="F351" s="3" t="n">
        <v>22.67</v>
      </c>
      <c r="G351" s="3" t="n">
        <v>54.77</v>
      </c>
      <c r="H351" s="3" t="n">
        <v>33.26</v>
      </c>
      <c r="I351" s="3" t="n">
        <v>34.65</v>
      </c>
      <c r="J351" s="4">
        <f>IF(OR(D351="",G351=""),"",G351-D351)</f>
        <v/>
      </c>
      <c r="K351" s="4">
        <f>IF(OR(E351="",H351=""),"",H351-E351)</f>
        <v/>
      </c>
      <c r="L351" s="4">
        <f>IF(OR(F351="",I351=""),"",I351-F351)</f>
        <v/>
      </c>
      <c r="M351" s="3" t="n">
        <v>3.37</v>
      </c>
      <c r="N351" s="3" t="n">
        <v>11.96</v>
      </c>
      <c r="O351" s="3" t="n">
        <v>8.59</v>
      </c>
      <c r="P351" s="3" t="n">
        <v>66.09999999999999</v>
      </c>
      <c r="Q351" s="3" t="n">
        <v>1190</v>
      </c>
      <c r="R351" s="3" t="n">
        <v>11.66</v>
      </c>
      <c r="S351" s="3">
        <f>IF(OR(Q351="",R351="",Q351=0),"",R351/Q351*100)</f>
        <v/>
      </c>
    </row>
    <row r="352" ht="16" customHeight="1">
      <c r="A352" s="2" t="inlineStr">
        <is>
          <t>6188</t>
        </is>
      </c>
      <c r="B352" s="2" t="inlineStr">
        <is>
          <t>廣明</t>
        </is>
      </c>
      <c r="C352" s="2" t="inlineStr">
        <is>
          <t>電腦及週邊設備業</t>
        </is>
      </c>
      <c r="D352" s="3" t="n">
        <v>24.53</v>
      </c>
      <c r="E352" s="3" t="n">
        <v>5.06</v>
      </c>
      <c r="F352" s="3" t="n">
        <v>6.86</v>
      </c>
      <c r="G352" s="3" t="n">
        <v>28.02</v>
      </c>
      <c r="H352" s="3" t="n">
        <v>4.7</v>
      </c>
      <c r="I352" s="3" t="n">
        <v>9.68</v>
      </c>
      <c r="J352" s="4">
        <f>IF(OR(D352="",G352=""),"",G352-D352)</f>
        <v/>
      </c>
      <c r="K352" s="4">
        <f>IF(OR(E352="",H352=""),"",H352-E352)</f>
        <v/>
      </c>
      <c r="L352" s="4">
        <f>IF(OR(F352="",I352=""),"",I352-F352)</f>
        <v/>
      </c>
      <c r="M352" s="3" t="n">
        <v>0.45</v>
      </c>
      <c r="N352" s="3" t="n">
        <v>1.03</v>
      </c>
      <c r="O352" s="3" t="n">
        <v>0.58</v>
      </c>
      <c r="P352" s="3" t="n">
        <v>24.45</v>
      </c>
      <c r="Q352" s="3" t="n">
        <v>57.6</v>
      </c>
      <c r="R352" s="3" t="n">
        <v>2.5</v>
      </c>
      <c r="S352" s="3">
        <f>IF(OR(Q352="",R352="",Q352=0),"",R352/Q352*100)</f>
        <v/>
      </c>
    </row>
    <row r="353" ht="16" customHeight="1">
      <c r="A353" s="2" t="inlineStr">
        <is>
          <t>6190</t>
        </is>
      </c>
      <c r="B353" s="2" t="inlineStr">
        <is>
          <t>萬泰科</t>
        </is>
      </c>
      <c r="C353" s="2" t="inlineStr">
        <is>
          <t>櫃通訊網路</t>
        </is>
      </c>
      <c r="D353" s="3" t="n">
        <v>16.46</v>
      </c>
      <c r="E353" s="3" t="n">
        <v>6.22</v>
      </c>
      <c r="F353" s="3" t="n">
        <v>5.66</v>
      </c>
      <c r="G353" s="3" t="n">
        <v>15.27</v>
      </c>
      <c r="H353" s="3" t="n">
        <v>7.3</v>
      </c>
      <c r="I353" s="3" t="n">
        <v>6.24</v>
      </c>
      <c r="J353" s="4">
        <f>IF(OR(D353="",G353=""),"",G353-D353)</f>
        <v/>
      </c>
      <c r="K353" s="4">
        <f>IF(OR(E353="",H353=""),"",H353-E353)</f>
        <v/>
      </c>
      <c r="L353" s="4">
        <f>IF(OR(F353="",I353=""),"",I353-F353)</f>
        <v/>
      </c>
      <c r="M353" s="3" t="n">
        <v>0.43</v>
      </c>
      <c r="N353" s="3" t="n">
        <v>1.35</v>
      </c>
      <c r="O353" s="3" t="n">
        <v>0.92</v>
      </c>
      <c r="P353" s="3" t="n">
        <v>26.68</v>
      </c>
      <c r="Q353" s="3" t="n">
        <v>60.6</v>
      </c>
      <c r="R353" s="3" t="n">
        <v>1.93</v>
      </c>
      <c r="S353" s="3">
        <f>IF(OR(Q353="",R353="",Q353=0),"",R353/Q353*100)</f>
        <v/>
      </c>
    </row>
    <row r="354" ht="16" customHeight="1">
      <c r="A354" s="2" t="inlineStr">
        <is>
          <t>6191</t>
        </is>
      </c>
      <c r="B354" s="2" t="inlineStr">
        <is>
          <t>精成科</t>
        </is>
      </c>
      <c r="C354" s="2" t="inlineStr">
        <is>
          <t>電子工業</t>
        </is>
      </c>
      <c r="D354" s="3" t="n">
        <v>16.47</v>
      </c>
      <c r="E354" s="3" t="n">
        <v>8.210000000000001</v>
      </c>
      <c r="F354" s="3" t="n">
        <v>8.550000000000001</v>
      </c>
      <c r="G354" s="3" t="n">
        <v>15.31</v>
      </c>
      <c r="H354" s="3" t="n">
        <v>7.02</v>
      </c>
      <c r="I354" s="3" t="n">
        <v>3.53</v>
      </c>
      <c r="J354" s="4">
        <f>IF(OR(D354="",G354=""),"",G354-D354)</f>
        <v/>
      </c>
      <c r="K354" s="4">
        <f>IF(OR(E354="",H354=""),"",H354-E354)</f>
        <v/>
      </c>
      <c r="L354" s="4">
        <f>IF(OR(F354="",I354=""),"",I354-F354)</f>
        <v/>
      </c>
      <c r="M354" s="3" t="n">
        <v>1.59</v>
      </c>
      <c r="N354" s="3" t="n">
        <v>2.31</v>
      </c>
      <c r="O354" s="3" t="n">
        <v>0.72</v>
      </c>
      <c r="P354" s="3" t="n">
        <v>14.29</v>
      </c>
      <c r="Q354" s="3" t="n">
        <v>78.5</v>
      </c>
      <c r="R354" s="3" t="n">
        <v>2.6</v>
      </c>
      <c r="S354" s="3">
        <f>IF(OR(Q354="",R354="",Q354=0),"",R354/Q354*100)</f>
        <v/>
      </c>
    </row>
    <row r="355" ht="16" customHeight="1">
      <c r="A355" s="2" t="inlineStr">
        <is>
          <t>6196</t>
        </is>
      </c>
      <c r="B355" s="2" t="inlineStr">
        <is>
          <t>帆宣</t>
        </is>
      </c>
      <c r="C355" s="2" t="inlineStr">
        <is>
          <t>其他電子業</t>
        </is>
      </c>
      <c r="D355" s="3" t="n">
        <v>13.57</v>
      </c>
      <c r="E355" s="3" t="n">
        <v>8.25</v>
      </c>
      <c r="F355" s="3" t="n">
        <v>7.75</v>
      </c>
      <c r="G355" s="3" t="n">
        <v>13.46</v>
      </c>
      <c r="H355" s="3" t="n">
        <v>8.92</v>
      </c>
      <c r="I355" s="3" t="n">
        <v>8.449999999999999</v>
      </c>
      <c r="J355" s="4">
        <f>IF(OR(D355="",G355=""),"",G355-D355)</f>
        <v/>
      </c>
      <c r="K355" s="4">
        <f>IF(OR(E355="",H355=""),"",H355-E355)</f>
        <v/>
      </c>
      <c r="L355" s="4">
        <f>IF(OR(F355="",I355=""),"",I355-F355)</f>
        <v/>
      </c>
      <c r="M355" s="3" t="n">
        <v>5.08</v>
      </c>
      <c r="N355" s="3" t="n">
        <v>13.29</v>
      </c>
      <c r="O355" s="3" t="n">
        <v>8.210000000000001</v>
      </c>
      <c r="P355" s="3" t="n"/>
      <c r="Q355" s="3" t="n">
        <v>536</v>
      </c>
      <c r="R355" s="3" t="n">
        <v>6.45</v>
      </c>
      <c r="S355" s="3">
        <f>IF(OR(Q355="",R355="",Q355=0),"",R355/Q355*100)</f>
        <v/>
      </c>
    </row>
    <row r="356" ht="16" customHeight="1">
      <c r="A356" s="2" t="inlineStr">
        <is>
          <t>6197</t>
        </is>
      </c>
      <c r="B356" s="2" t="inlineStr">
        <is>
          <t>佳必琪</t>
        </is>
      </c>
      <c r="C356" s="2" t="inlineStr">
        <is>
          <t>電子工業</t>
        </is>
      </c>
      <c r="D356" s="3" t="n">
        <v>35.8</v>
      </c>
      <c r="E356" s="3" t="n">
        <v>22.63</v>
      </c>
      <c r="F356" s="3" t="n">
        <v>20.24</v>
      </c>
      <c r="G356" s="3" t="n">
        <v>35.98</v>
      </c>
      <c r="H356" s="3" t="n">
        <v>22.88</v>
      </c>
      <c r="I356" s="3" t="n">
        <v>19.09</v>
      </c>
      <c r="J356" s="4">
        <f>IF(OR(D356="",G356=""),"",G356-D356)</f>
        <v/>
      </c>
      <c r="K356" s="4">
        <f>IF(OR(E356="",H356=""),"",H356-E356)</f>
        <v/>
      </c>
      <c r="L356" s="4">
        <f>IF(OR(F356="",I356=""),"",I356-F356)</f>
        <v/>
      </c>
      <c r="M356" s="3" t="n">
        <v>3.21</v>
      </c>
      <c r="N356" s="3" t="n">
        <v>7</v>
      </c>
      <c r="O356" s="3" t="n">
        <v>3.79</v>
      </c>
      <c r="P356" s="3" t="n">
        <v>25.23</v>
      </c>
      <c r="Q356" s="3" t="n">
        <v>298.5</v>
      </c>
      <c r="R356" s="3" t="n">
        <v>6.92</v>
      </c>
      <c r="S356" s="3">
        <f>IF(OR(Q356="",R356="",Q356=0),"",R356/Q356*100)</f>
        <v/>
      </c>
    </row>
    <row r="357" ht="16" customHeight="1">
      <c r="A357" s="2" t="inlineStr">
        <is>
          <t>6202</t>
        </is>
      </c>
      <c r="B357" s="2" t="inlineStr">
        <is>
          <t>盛群</t>
        </is>
      </c>
      <c r="C357" s="2" t="inlineStr">
        <is>
          <t>半導體業</t>
        </is>
      </c>
      <c r="D357" s="3" t="n">
        <v>40.01</v>
      </c>
      <c r="E357" s="3" t="n">
        <v>6.69</v>
      </c>
      <c r="F357" s="3" t="n">
        <v>8.640000000000001</v>
      </c>
      <c r="G357" s="3" t="n">
        <v>44.71</v>
      </c>
      <c r="H357" s="3" t="n">
        <v>15.1</v>
      </c>
      <c r="I357" s="3" t="n">
        <v>15.56</v>
      </c>
      <c r="J357" s="4">
        <f>IF(OR(D357="",G357=""),"",G357-D357)</f>
        <v/>
      </c>
      <c r="K357" s="4">
        <f>IF(OR(E357="",H357=""),"",H357-E357)</f>
        <v/>
      </c>
      <c r="L357" s="4">
        <f>IF(OR(F357="",I357=""),"",I357-F357)</f>
        <v/>
      </c>
      <c r="M357" s="3" t="n">
        <v>0.3</v>
      </c>
      <c r="N357" s="3" t="n">
        <v>0.9399999999999999</v>
      </c>
      <c r="O357" s="3" t="n">
        <v>0.64</v>
      </c>
      <c r="P357" s="3" t="n">
        <v>46.75</v>
      </c>
      <c r="Q357" s="3" t="n">
        <v>51.3</v>
      </c>
      <c r="R357" s="3" t="n">
        <v>0.68</v>
      </c>
      <c r="S357" s="3">
        <f>IF(OR(Q357="",R357="",Q357=0),"",R357/Q357*100)</f>
        <v/>
      </c>
    </row>
    <row r="358" ht="16" customHeight="1">
      <c r="A358" s="2" t="inlineStr">
        <is>
          <t>6206</t>
        </is>
      </c>
      <c r="B358" s="2" t="inlineStr">
        <is>
          <t>飛捷</t>
        </is>
      </c>
      <c r="C358" s="2" t="inlineStr">
        <is>
          <t>電腦週邊</t>
        </is>
      </c>
      <c r="D358" s="3" t="n">
        <v>45.63</v>
      </c>
      <c r="E358" s="3" t="n">
        <v>28.09</v>
      </c>
      <c r="F358" s="3" t="n">
        <v>23.45</v>
      </c>
      <c r="G358" s="3" t="n">
        <v>45.38</v>
      </c>
      <c r="H358" s="3" t="n">
        <v>30.9</v>
      </c>
      <c r="I358" s="3" t="n">
        <v>25.7</v>
      </c>
      <c r="J358" s="4">
        <f>IF(OR(D358="",G358=""),"",G358-D358)</f>
        <v/>
      </c>
      <c r="K358" s="4">
        <f>IF(OR(E358="",H358=""),"",H358-E358)</f>
        <v/>
      </c>
      <c r="L358" s="4">
        <f>IF(OR(F358="",I358=""),"",I358-F358)</f>
        <v/>
      </c>
      <c r="M358" s="3" t="n">
        <v>2.51</v>
      </c>
      <c r="N358" s="3" t="n">
        <v>5.89</v>
      </c>
      <c r="O358" s="3" t="n">
        <v>3.38</v>
      </c>
      <c r="P358" s="3" t="n">
        <v>16.24</v>
      </c>
      <c r="Q358" s="3" t="n">
        <v>128</v>
      </c>
      <c r="R358" s="3" t="n">
        <v>5.5</v>
      </c>
      <c r="S358" s="3">
        <f>IF(OR(Q358="",R358="",Q358=0),"",R358/Q358*100)</f>
        <v/>
      </c>
    </row>
    <row r="359" ht="16" customHeight="1">
      <c r="A359" s="2" t="inlineStr">
        <is>
          <t>6213</t>
        </is>
      </c>
      <c r="B359" s="2" t="inlineStr">
        <is>
          <t>聯茂</t>
        </is>
      </c>
      <c r="C359" s="2" t="inlineStr">
        <is>
          <t>電子工業</t>
        </is>
      </c>
      <c r="D359" s="3" t="n">
        <v>11.42</v>
      </c>
      <c r="E359" s="3" t="n">
        <v>4.64</v>
      </c>
      <c r="F359" s="3" t="n">
        <v>3.44</v>
      </c>
      <c r="G359" s="3" t="n">
        <v>22.02</v>
      </c>
      <c r="H359" s="3" t="n">
        <v>16.03</v>
      </c>
      <c r="I359" s="3" t="n">
        <v>11.1</v>
      </c>
      <c r="J359" s="4">
        <f>IF(OR(D359="",G359=""),"",G359-D359)</f>
        <v/>
      </c>
      <c r="K359" s="4">
        <f>IF(OR(E359="",H359=""),"",H359-E359)</f>
        <v/>
      </c>
      <c r="L359" s="4">
        <f>IF(OR(F359="",I359=""),"",I359-F359)</f>
        <v/>
      </c>
      <c r="M359" s="3" t="n">
        <v>0.87</v>
      </c>
      <c r="N359" s="3" t="n">
        <v>4.41</v>
      </c>
      <c r="O359" s="3" t="n">
        <v>3.54</v>
      </c>
      <c r="P359" s="3" t="n">
        <v>74.42</v>
      </c>
      <c r="Q359" s="3" t="n">
        <v>687</v>
      </c>
      <c r="R359" s="3" t="n">
        <v>3</v>
      </c>
      <c r="S359" s="3">
        <f>IF(OR(Q359="",R359="",Q359=0),"",R359/Q359*100)</f>
        <v/>
      </c>
    </row>
    <row r="360" ht="16" customHeight="1">
      <c r="A360" s="2" t="inlineStr">
        <is>
          <t>6214</t>
        </is>
      </c>
      <c r="B360" s="2" t="inlineStr">
        <is>
          <t>精誠</t>
        </is>
      </c>
      <c r="C360" s="2" t="inlineStr">
        <is>
          <t>資訊服務業</t>
        </is>
      </c>
      <c r="D360" s="3" t="n">
        <v>20.4</v>
      </c>
      <c r="E360" s="3" t="n">
        <v>4.94</v>
      </c>
      <c r="F360" s="3" t="n">
        <v>6.47</v>
      </c>
      <c r="G360" s="3" t="n"/>
      <c r="H360" s="3" t="n"/>
      <c r="I360" s="3" t="n"/>
      <c r="J360" s="4">
        <f>IF(OR(D360="",G360=""),"",G360-D360)</f>
        <v/>
      </c>
      <c r="K360" s="4">
        <f>IF(OR(E360="",H360=""),"",H360-E360)</f>
        <v/>
      </c>
      <c r="L360" s="4">
        <f>IF(OR(F360="",I360=""),"",I360-F360)</f>
        <v/>
      </c>
      <c r="M360" s="3" t="n">
        <v>2.64</v>
      </c>
      <c r="N360" s="3" t="n">
        <v>6.15</v>
      </c>
      <c r="O360" s="3" t="n">
        <v>3.51</v>
      </c>
      <c r="P360" s="3" t="n">
        <v>16.75</v>
      </c>
      <c r="Q360" s="3" t="n">
        <v>201</v>
      </c>
      <c r="R360" s="3" t="n">
        <v>6</v>
      </c>
      <c r="S360" s="3">
        <f>IF(OR(Q360="",R360="",Q360=0),"",R360/Q360*100)</f>
        <v/>
      </c>
    </row>
    <row r="361" ht="16" customHeight="1">
      <c r="A361" s="2" t="inlineStr">
        <is>
          <t>6217</t>
        </is>
      </c>
      <c r="B361" s="2" t="inlineStr">
        <is>
          <t>中探針</t>
        </is>
      </c>
      <c r="C361" s="2" t="inlineStr">
        <is>
          <t>電子零組件業</t>
        </is>
      </c>
      <c r="D361" s="3" t="n">
        <v>23.3</v>
      </c>
      <c r="E361" s="3" t="n">
        <v>0.92</v>
      </c>
      <c r="F361" s="3" t="n">
        <v>1.26</v>
      </c>
      <c r="G361" s="3" t="n">
        <v>19.63</v>
      </c>
      <c r="H361" s="3" t="n">
        <v>-3.27</v>
      </c>
      <c r="I361" s="3" t="n">
        <v>-3.12</v>
      </c>
      <c r="J361" s="4">
        <f>IF(OR(D361="",G361=""),"",G361-D361)</f>
        <v/>
      </c>
      <c r="K361" s="4">
        <f>IF(OR(E361="",H361=""),"",H361-E361)</f>
        <v/>
      </c>
      <c r="L361" s="4">
        <f>IF(OR(F361="",I361=""),"",I361-F361)</f>
        <v/>
      </c>
      <c r="M361" s="3" t="n">
        <v>0.11</v>
      </c>
      <c r="N361" s="3" t="n">
        <v>-0.19</v>
      </c>
      <c r="O361" s="3" t="n">
        <v>-0.3</v>
      </c>
      <c r="P361" s="3" t="n"/>
      <c r="Q361" s="3" t="n">
        <v>152</v>
      </c>
      <c r="R361" s="3" t="n"/>
      <c r="S361" s="3">
        <f>IF(OR(Q361="",R361="",Q361=0),"",R361/Q361*100)</f>
        <v/>
      </c>
    </row>
    <row r="362" ht="16" customHeight="1">
      <c r="A362" s="2" t="inlineStr">
        <is>
          <t>6223</t>
        </is>
      </c>
      <c r="B362" s="2" t="inlineStr">
        <is>
          <t>旺矽</t>
        </is>
      </c>
      <c r="C362" s="2" t="inlineStr">
        <is>
          <t>半導體業</t>
        </is>
      </c>
      <c r="D362" s="3" t="n">
        <v>59.45</v>
      </c>
      <c r="E362" s="3" t="n">
        <v>32.37</v>
      </c>
      <c r="F362" s="3" t="n">
        <v>31.21</v>
      </c>
      <c r="G362" s="3" t="n">
        <v>58.37</v>
      </c>
      <c r="H362" s="3" t="n">
        <v>34.42</v>
      </c>
      <c r="I362" s="3" t="n">
        <v>29.11</v>
      </c>
      <c r="J362" s="4">
        <f>IF(OR(D362="",G362=""),"",G362-D362)</f>
        <v/>
      </c>
      <c r="K362" s="4">
        <f>IF(OR(E362="",H362=""),"",H362-E362)</f>
        <v/>
      </c>
      <c r="L362" s="4">
        <f>IF(OR(F362="",I362=""),"",I362-F362)</f>
        <v/>
      </c>
      <c r="M362" s="3" t="n">
        <v>12.53</v>
      </c>
      <c r="N362" s="3" t="n">
        <v>28.08</v>
      </c>
      <c r="O362" s="3" t="n">
        <v>15.55</v>
      </c>
      <c r="P362" s="3" t="n">
        <v>120.99</v>
      </c>
      <c r="Q362" s="3" t="n">
        <v>4610</v>
      </c>
      <c r="R362" s="3" t="n">
        <v>22</v>
      </c>
      <c r="S362" s="3">
        <f>IF(OR(Q362="",R362="",Q362=0),"",R362/Q362*100)</f>
        <v/>
      </c>
    </row>
    <row r="363" ht="16" customHeight="1">
      <c r="A363" s="2" t="inlineStr">
        <is>
          <t>6239</t>
        </is>
      </c>
      <c r="B363" s="2" t="inlineStr">
        <is>
          <t>力成</t>
        </is>
      </c>
      <c r="C363" s="2" t="inlineStr">
        <is>
          <t>半導體業</t>
        </is>
      </c>
      <c r="D363" s="3" t="n">
        <v>19.44</v>
      </c>
      <c r="E363" s="3" t="n">
        <v>12.95</v>
      </c>
      <c r="F363" s="3" t="n">
        <v>11.2</v>
      </c>
      <c r="G363" s="3" t="n">
        <v>21.76</v>
      </c>
      <c r="H363" s="3" t="n">
        <v>15.27</v>
      </c>
      <c r="I363" s="3" t="n">
        <v>12.34</v>
      </c>
      <c r="J363" s="4">
        <f>IF(OR(D363="",G363=""),"",G363-D363)</f>
        <v/>
      </c>
      <c r="K363" s="4">
        <f>IF(OR(E363="",H363=""),"",H363-E363)</f>
        <v/>
      </c>
      <c r="L363" s="4">
        <f>IF(OR(F363="",I363=""),"",I363-F363)</f>
        <v/>
      </c>
      <c r="M363" s="3" t="n">
        <v>2.5</v>
      </c>
      <c r="N363" s="3" t="n">
        <v>5.49</v>
      </c>
      <c r="O363" s="3" t="n">
        <v>2.99</v>
      </c>
      <c r="P363" s="3" t="n">
        <v>26.53</v>
      </c>
      <c r="Q363" s="3" t="n">
        <v>256</v>
      </c>
      <c r="R363" s="3" t="n"/>
      <c r="S363" s="3">
        <f>IF(OR(Q363="",R363="",Q363=0),"",R363/Q363*100)</f>
        <v/>
      </c>
    </row>
    <row r="364" ht="16" customHeight="1">
      <c r="A364" s="2" t="inlineStr">
        <is>
          <t>6257</t>
        </is>
      </c>
      <c r="B364" s="2" t="inlineStr">
        <is>
          <t>矽格</t>
        </is>
      </c>
      <c r="C364" s="2" t="inlineStr">
        <is>
          <t>半導體業</t>
        </is>
      </c>
      <c r="D364" s="3" t="n">
        <v>31.66</v>
      </c>
      <c r="E364" s="3" t="n">
        <v>22.37</v>
      </c>
      <c r="F364" s="3" t="n">
        <v>21.19</v>
      </c>
      <c r="G364" s="3" t="n">
        <v>34.25</v>
      </c>
      <c r="H364" s="3" t="n">
        <v>25.64</v>
      </c>
      <c r="I364" s="3" t="n">
        <v>23.09</v>
      </c>
      <c r="J364" s="4">
        <f>IF(OR(D364="",G364=""),"",G364-D364)</f>
        <v/>
      </c>
      <c r="K364" s="4">
        <f>IF(OR(E364="",H364=""),"",H364-E364)</f>
        <v/>
      </c>
      <c r="L364" s="4">
        <f>IF(OR(F364="",I364=""),"",I364-F364)</f>
        <v/>
      </c>
      <c r="M364" s="3" t="n">
        <v>2.1</v>
      </c>
      <c r="N364" s="3" t="n">
        <v>4.64</v>
      </c>
      <c r="O364" s="3" t="n">
        <v>2.54</v>
      </c>
      <c r="P364" s="3" t="n">
        <v>24.33</v>
      </c>
      <c r="Q364" s="3" t="n">
        <v>210</v>
      </c>
      <c r="R364" s="3" t="n">
        <v>2.73</v>
      </c>
      <c r="S364" s="3">
        <f>IF(OR(Q364="",R364="",Q364=0),"",R364/Q364*100)</f>
        <v/>
      </c>
    </row>
    <row r="365" ht="16" customHeight="1">
      <c r="A365" s="2" t="inlineStr">
        <is>
          <t>6269</t>
        </is>
      </c>
      <c r="B365" s="2" t="inlineStr">
        <is>
          <t>台郡</t>
        </is>
      </c>
      <c r="C365" s="2" t="inlineStr">
        <is>
          <t>電子零組件</t>
        </is>
      </c>
      <c r="D365" s="3" t="n">
        <v>-1.38</v>
      </c>
      <c r="E365" s="3" t="n">
        <v>-18.29</v>
      </c>
      <c r="F365" s="3" t="n">
        <v>-14.95</v>
      </c>
      <c r="G365" s="3" t="n"/>
      <c r="H365" s="3" t="n"/>
      <c r="I365" s="3" t="n"/>
      <c r="J365" s="4">
        <f>IF(OR(D365="",G365=""),"",G365-D365)</f>
        <v/>
      </c>
      <c r="K365" s="4">
        <f>IF(OR(E365="",H365=""),"",H365-E365)</f>
        <v/>
      </c>
      <c r="L365" s="4">
        <f>IF(OR(F365="",I365=""),"",I365-F365)</f>
        <v/>
      </c>
      <c r="M365" s="3" t="n">
        <v>-2.6</v>
      </c>
      <c r="N365" s="3" t="n"/>
      <c r="O365" s="3" t="n"/>
      <c r="P365" s="3" t="n"/>
      <c r="Q365" s="3" t="n">
        <v>69</v>
      </c>
      <c r="R365" s="3" t="n"/>
      <c r="S365" s="3">
        <f>IF(OR(Q365="",R365="",Q365=0),"",R365/Q365*100)</f>
        <v/>
      </c>
    </row>
    <row r="366" ht="16" customHeight="1">
      <c r="A366" s="2" t="inlineStr">
        <is>
          <t>6271</t>
        </is>
      </c>
      <c r="B366" s="2" t="inlineStr">
        <is>
          <t>同欣電</t>
        </is>
      </c>
      <c r="C366" s="2" t="inlineStr">
        <is>
          <t>半導體業</t>
        </is>
      </c>
      <c r="D366" s="3" t="n">
        <v>27.97</v>
      </c>
      <c r="E366" s="3" t="n">
        <v>13.96</v>
      </c>
      <c r="F366" s="3" t="n">
        <v>14</v>
      </c>
      <c r="G366" s="3" t="n">
        <v>31.09</v>
      </c>
      <c r="H366" s="3" t="n">
        <v>18.14</v>
      </c>
      <c r="I366" s="3" t="n">
        <v>16.53</v>
      </c>
      <c r="J366" s="4">
        <f>IF(OR(D366="",G366=""),"",G366-D366)</f>
        <v/>
      </c>
      <c r="K366" s="4">
        <f>IF(OR(E366="",H366=""),"",H366-E366)</f>
        <v/>
      </c>
      <c r="L366" s="4">
        <f>IF(OR(F366="",I366=""),"",I366-F366)</f>
        <v/>
      </c>
      <c r="M366" s="3" t="n">
        <v>1.89</v>
      </c>
      <c r="N366" s="3" t="n">
        <v>4.38</v>
      </c>
      <c r="O366" s="3" t="n">
        <v>2.49</v>
      </c>
      <c r="P366" s="3" t="n">
        <v>21.7</v>
      </c>
      <c r="Q366" s="3" t="n">
        <v>197</v>
      </c>
      <c r="R366" s="3" t="n">
        <v>3</v>
      </c>
      <c r="S366" s="3">
        <f>IF(OR(Q366="",R366="",Q366=0),"",R366/Q366*100)</f>
        <v/>
      </c>
    </row>
    <row r="367" ht="16" customHeight="1">
      <c r="A367" s="2" t="inlineStr">
        <is>
          <t>6274</t>
        </is>
      </c>
      <c r="B367" s="2" t="inlineStr">
        <is>
          <t>台燿</t>
        </is>
      </c>
      <c r="C367" s="2" t="inlineStr"/>
      <c r="D367" s="3" t="n">
        <v>25.15</v>
      </c>
      <c r="E367" s="3" t="n">
        <v>18.18</v>
      </c>
      <c r="F367" s="3" t="n">
        <v>12.53</v>
      </c>
      <c r="G367" s="3" t="n">
        <v>29.71</v>
      </c>
      <c r="H367" s="3" t="n">
        <v>23.48</v>
      </c>
      <c r="I367" s="3" t="n">
        <v>16.38</v>
      </c>
      <c r="J367" s="4">
        <f>IF(OR(D367="",G367=""),"",G367-D367)</f>
        <v/>
      </c>
      <c r="K367" s="4">
        <f>IF(OR(E367="",H367=""),"",H367-E367)</f>
        <v/>
      </c>
      <c r="L367" s="4">
        <f>IF(OR(F367="",I367=""),"",I367-F367)</f>
        <v/>
      </c>
      <c r="M367" s="3" t="n">
        <v>4.36</v>
      </c>
      <c r="N367" s="3" t="n">
        <v>12.46</v>
      </c>
      <c r="O367" s="3" t="n">
        <v>8.1</v>
      </c>
      <c r="P367" s="3" t="n">
        <v>85.06999999999999</v>
      </c>
      <c r="Q367" s="3" t="n">
        <v>1265</v>
      </c>
      <c r="R367" s="3" t="n">
        <v>7.5066</v>
      </c>
      <c r="S367" s="3">
        <f>IF(OR(Q367="",R367="",Q367=0),"",R367/Q367*100)</f>
        <v/>
      </c>
    </row>
    <row r="368" ht="16" customHeight="1">
      <c r="A368" s="2" t="inlineStr">
        <is>
          <t>6278</t>
        </is>
      </c>
      <c r="B368" s="2" t="inlineStr">
        <is>
          <t>台表科</t>
        </is>
      </c>
      <c r="C368" s="2" t="inlineStr">
        <is>
          <t>光電</t>
        </is>
      </c>
      <c r="D368" s="3" t="n">
        <v>11.31</v>
      </c>
      <c r="E368" s="3" t="n">
        <v>5.77</v>
      </c>
      <c r="F368" s="3" t="n">
        <v>5</v>
      </c>
      <c r="G368" s="3" t="n">
        <v>11.79</v>
      </c>
      <c r="H368" s="3" t="n">
        <v>6.18</v>
      </c>
      <c r="I368" s="3" t="n">
        <v>6.05</v>
      </c>
      <c r="J368" s="4">
        <f>IF(OR(D368="",G368=""),"",G368-D368)</f>
        <v/>
      </c>
      <c r="K368" s="4">
        <f>IF(OR(E368="",H368=""),"",H368-E368)</f>
        <v/>
      </c>
      <c r="L368" s="4">
        <f>IF(OR(F368="",I368=""),"",I368-F368)</f>
        <v/>
      </c>
      <c r="M368" s="3" t="n">
        <v>2.17</v>
      </c>
      <c r="N368" s="3" t="n">
        <v>4.93</v>
      </c>
      <c r="O368" s="3" t="n">
        <v>2.76</v>
      </c>
      <c r="P368" s="3" t="n">
        <v>19.07</v>
      </c>
      <c r="Q368" s="3" t="n">
        <v>252.5</v>
      </c>
      <c r="R368" s="3" t="n">
        <v>5.565</v>
      </c>
      <c r="S368" s="3">
        <f>IF(OR(Q368="",R368="",Q368=0),"",R368/Q368*100)</f>
        <v/>
      </c>
    </row>
    <row r="369" ht="16" customHeight="1">
      <c r="A369" s="2" t="inlineStr">
        <is>
          <t>6282</t>
        </is>
      </c>
      <c r="B369" s="2" t="inlineStr">
        <is>
          <t>康舒</t>
        </is>
      </c>
      <c r="C369" s="2" t="inlineStr">
        <is>
          <t>電子工業</t>
        </is>
      </c>
      <c r="D369" s="3" t="n">
        <v>24.39</v>
      </c>
      <c r="E369" s="3" t="n">
        <v>2.93</v>
      </c>
      <c r="F369" s="3" t="n">
        <v>2.7</v>
      </c>
      <c r="G369" s="3" t="n"/>
      <c r="H369" s="3" t="n"/>
      <c r="I369" s="3" t="n"/>
      <c r="J369" s="4">
        <f>IF(OR(D369="",G369=""),"",G369-D369)</f>
        <v/>
      </c>
      <c r="K369" s="4">
        <f>IF(OR(E369="",H369=""),"",H369-E369)</f>
        <v/>
      </c>
      <c r="L369" s="4">
        <f>IF(OR(F369="",I369=""),"",I369-F369)</f>
        <v/>
      </c>
      <c r="M369" s="3" t="n">
        <v>0.27</v>
      </c>
      <c r="N369" s="3" t="n"/>
      <c r="O369" s="3" t="n"/>
      <c r="P369" s="3" t="n">
        <v>36.58</v>
      </c>
      <c r="Q369" s="3" t="n">
        <v>39</v>
      </c>
      <c r="R369" s="3" t="n">
        <v>0.8</v>
      </c>
      <c r="S369" s="3">
        <f>IF(OR(Q369="",R369="",Q369=0),"",R369/Q369*100)</f>
        <v/>
      </c>
    </row>
    <row r="370" ht="16" customHeight="1">
      <c r="A370" s="2" t="inlineStr">
        <is>
          <t>6284</t>
        </is>
      </c>
      <c r="B370" s="2" t="inlineStr">
        <is>
          <t>佳邦</t>
        </is>
      </c>
      <c r="C370" s="2" t="inlineStr">
        <is>
          <t>電子零組件業</t>
        </is>
      </c>
      <c r="D370" s="3" t="n">
        <v>19.98</v>
      </c>
      <c r="E370" s="3" t="n">
        <v>4.88</v>
      </c>
      <c r="F370" s="3" t="n">
        <v>4.35</v>
      </c>
      <c r="G370" s="3" t="n">
        <v>17.62</v>
      </c>
      <c r="H370" s="3" t="n">
        <v>6.06</v>
      </c>
      <c r="I370" s="3" t="n">
        <v>3.01</v>
      </c>
      <c r="J370" s="4">
        <f>IF(OR(D370="",G370=""),"",G370-D370)</f>
        <v/>
      </c>
      <c r="K370" s="4">
        <f>IF(OR(E370="",H370=""),"",H370-E370)</f>
        <v/>
      </c>
      <c r="L370" s="4">
        <f>IF(OR(F370="",I370=""),"",I370-F370)</f>
        <v/>
      </c>
      <c r="M370" s="3" t="n">
        <v>0.51</v>
      </c>
      <c r="N370" s="3" t="n">
        <v>0.91</v>
      </c>
      <c r="O370" s="3" t="n">
        <v>0.4</v>
      </c>
      <c r="P370" s="3" t="n">
        <v>20.21</v>
      </c>
      <c r="Q370" s="3" t="n">
        <v>71.40000000000001</v>
      </c>
      <c r="R370" s="3" t="n">
        <v>1.8896</v>
      </c>
      <c r="S370" s="3">
        <f>IF(OR(Q370="",R370="",Q370=0),"",R370/Q370*100)</f>
        <v/>
      </c>
    </row>
    <row r="371" ht="16" customHeight="1">
      <c r="A371" s="2" t="inlineStr">
        <is>
          <t>6285</t>
        </is>
      </c>
      <c r="B371" s="2" t="inlineStr">
        <is>
          <t>啟碁</t>
        </is>
      </c>
      <c r="C371" s="2" t="inlineStr">
        <is>
          <t>通信網路業</t>
        </is>
      </c>
      <c r="D371" s="3" t="n">
        <v>13.76</v>
      </c>
      <c r="E371" s="3" t="n">
        <v>4.67</v>
      </c>
      <c r="F371" s="3" t="n">
        <v>3.88</v>
      </c>
      <c r="G371" s="3" t="n">
        <v>13</v>
      </c>
      <c r="H371" s="3" t="n">
        <v>5.24</v>
      </c>
      <c r="I371" s="3" t="n">
        <v>4.14</v>
      </c>
      <c r="J371" s="4">
        <f>IF(OR(D371="",G371=""),"",G371-D371)</f>
        <v/>
      </c>
      <c r="K371" s="4">
        <f>IF(OR(E371="",H371=""),"",H371-E371)</f>
        <v/>
      </c>
      <c r="L371" s="4">
        <f>IF(OR(F371="",I371=""),"",I371-F371)</f>
        <v/>
      </c>
      <c r="M371" s="3" t="n">
        <v>2.36</v>
      </c>
      <c r="N371" s="3" t="n">
        <v>5.76</v>
      </c>
      <c r="O371" s="3" t="n">
        <v>3.4</v>
      </c>
      <c r="P371" s="3" t="n">
        <v>26.83</v>
      </c>
      <c r="Q371" s="3" t="n">
        <v>213</v>
      </c>
      <c r="R371" s="3" t="n">
        <v>4.3</v>
      </c>
      <c r="S371" s="3">
        <f>IF(OR(Q371="",R371="",Q371=0),"",R371/Q371*100)</f>
        <v/>
      </c>
    </row>
    <row r="372" ht="16" customHeight="1">
      <c r="A372" s="2" t="inlineStr">
        <is>
          <t>6290</t>
        </is>
      </c>
      <c r="B372" s="2" t="inlineStr">
        <is>
          <t>良維</t>
        </is>
      </c>
      <c r="C372" s="2" t="inlineStr">
        <is>
          <t>電子零組件業</t>
        </is>
      </c>
      <c r="D372" s="3" t="n">
        <v>31.19</v>
      </c>
      <c r="E372" s="3" t="n">
        <v>19.88</v>
      </c>
      <c r="F372" s="3" t="n">
        <v>17.44</v>
      </c>
      <c r="G372" s="3" t="n">
        <v>30.23</v>
      </c>
      <c r="H372" s="3" t="n">
        <v>15.88</v>
      </c>
      <c r="I372" s="3" t="n">
        <v>11.61</v>
      </c>
      <c r="J372" s="4">
        <f>IF(OR(D372="",G372=""),"",G372-D372)</f>
        <v/>
      </c>
      <c r="K372" s="4">
        <f>IF(OR(E372="",H372=""),"",H372-E372)</f>
        <v/>
      </c>
      <c r="L372" s="4">
        <f>IF(OR(F372="",I372=""),"",I372-F372)</f>
        <v/>
      </c>
      <c r="M372" s="3" t="n">
        <v>2.68</v>
      </c>
      <c r="N372" s="3" t="n">
        <v>4.52</v>
      </c>
      <c r="O372" s="3" t="n">
        <v>1.84</v>
      </c>
      <c r="P372" s="3" t="n">
        <v>23.27</v>
      </c>
      <c r="Q372" s="3" t="n">
        <v>226</v>
      </c>
      <c r="R372" s="3" t="n">
        <v>6.19</v>
      </c>
      <c r="S372" s="3">
        <f>IF(OR(Q372="",R372="",Q372=0),"",R372/Q372*100)</f>
        <v/>
      </c>
    </row>
    <row r="373" ht="16" customHeight="1">
      <c r="A373" s="2" t="inlineStr">
        <is>
          <t>6291</t>
        </is>
      </c>
      <c r="B373" s="2" t="inlineStr">
        <is>
          <t>沛亨</t>
        </is>
      </c>
      <c r="C373" s="2" t="inlineStr">
        <is>
          <t>半導體業</t>
        </is>
      </c>
      <c r="D373" s="3" t="n">
        <v>37.5</v>
      </c>
      <c r="E373" s="3" t="n">
        <v>22.54</v>
      </c>
      <c r="F373" s="3" t="n">
        <v>19.25</v>
      </c>
      <c r="G373" s="3" t="n">
        <v>39.55</v>
      </c>
      <c r="H373" s="3" t="n">
        <v>25.94</v>
      </c>
      <c r="I373" s="3" t="n">
        <v>19.85</v>
      </c>
      <c r="J373" s="4">
        <f>IF(OR(D373="",G373=""),"",G373-D373)</f>
        <v/>
      </c>
      <c r="K373" s="4">
        <f>IF(OR(E373="",H373=""),"",H373-E373)</f>
        <v/>
      </c>
      <c r="L373" s="4">
        <f>IF(OR(F373="",I373=""),"",I373-F373)</f>
        <v/>
      </c>
      <c r="M373" s="3" t="n">
        <v>3</v>
      </c>
      <c r="N373" s="3" t="n">
        <v>6.29</v>
      </c>
      <c r="O373" s="3" t="n">
        <v>3.29</v>
      </c>
      <c r="P373" s="3" t="n">
        <v>33.25</v>
      </c>
      <c r="Q373" s="3" t="n">
        <v>349</v>
      </c>
      <c r="R373" s="3" t="n">
        <v>6</v>
      </c>
      <c r="S373" s="3">
        <f>IF(OR(Q373="",R373="",Q373=0),"",R373/Q373*100)</f>
        <v/>
      </c>
    </row>
    <row r="374" ht="16" customHeight="1">
      <c r="A374" s="2" t="inlineStr">
        <is>
          <t>6409</t>
        </is>
      </c>
      <c r="B374" s="2" t="inlineStr">
        <is>
          <t>旭隼</t>
        </is>
      </c>
      <c r="C374" s="2" t="inlineStr">
        <is>
          <t>其他電子業</t>
        </is>
      </c>
      <c r="D374" s="3" t="n">
        <v>26.1</v>
      </c>
      <c r="E374" s="3" t="n">
        <v>18.11</v>
      </c>
      <c r="F374" s="3" t="n">
        <v>9.31</v>
      </c>
      <c r="G374" s="3" t="n">
        <v>25.28</v>
      </c>
      <c r="H374" s="3" t="n">
        <v>18.11</v>
      </c>
      <c r="I374" s="3" t="n">
        <v>12.82</v>
      </c>
      <c r="J374" s="4">
        <f>IF(OR(D374="",G374=""),"",G374-D374)</f>
        <v/>
      </c>
      <c r="K374" s="4">
        <f>IF(OR(E374="",H374=""),"",H374-E374)</f>
        <v/>
      </c>
      <c r="L374" s="4">
        <f>IF(OR(F374="",I374=""),"",I374-F374)</f>
        <v/>
      </c>
      <c r="M374" s="3" t="n">
        <v>4.46</v>
      </c>
      <c r="N374" s="3" t="n">
        <v>12.57</v>
      </c>
      <c r="O374" s="3" t="n">
        <v>8.109999999999999</v>
      </c>
      <c r="P374" s="3" t="n">
        <v>39.33</v>
      </c>
      <c r="Q374" s="3" t="n">
        <v>882</v>
      </c>
      <c r="R374" s="3" t="n">
        <v>36.7702</v>
      </c>
      <c r="S374" s="3">
        <f>IF(OR(Q374="",R374="",Q374=0),"",R374/Q374*100)</f>
        <v/>
      </c>
    </row>
    <row r="375" ht="16" customHeight="1">
      <c r="A375" s="2" t="inlineStr">
        <is>
          <t>6412</t>
        </is>
      </c>
      <c r="B375" s="2" t="inlineStr">
        <is>
          <t>群電</t>
        </is>
      </c>
      <c r="C375" s="2" t="inlineStr">
        <is>
          <t>電子工業</t>
        </is>
      </c>
      <c r="D375" s="3" t="n">
        <v>15.94</v>
      </c>
      <c r="E375" s="3" t="n">
        <v>4.29</v>
      </c>
      <c r="F375" s="3" t="n">
        <v>5.19</v>
      </c>
      <c r="G375" s="3" t="n">
        <v>13.07</v>
      </c>
      <c r="H375" s="3" t="n">
        <v>2.32</v>
      </c>
      <c r="I375" s="3" t="n">
        <v>9.640000000000001</v>
      </c>
      <c r="J375" s="4">
        <f>IF(OR(D375="",G375=""),"",G375-D375)</f>
        <v/>
      </c>
      <c r="K375" s="4">
        <f>IF(OR(E375="",H375=""),"",H375-E375)</f>
        <v/>
      </c>
      <c r="L375" s="4">
        <f>IF(OR(F375="",I375=""),"",I375-F375)</f>
        <v/>
      </c>
      <c r="M375" s="3" t="n">
        <v>1.01</v>
      </c>
      <c r="N375" s="3" t="n">
        <v>3.04</v>
      </c>
      <c r="O375" s="3" t="n">
        <v>2.03</v>
      </c>
      <c r="P375" s="3" t="n">
        <v>12.85</v>
      </c>
      <c r="Q375" s="3" t="n">
        <v>67.3</v>
      </c>
      <c r="R375" s="3" t="n">
        <v>3.7</v>
      </c>
      <c r="S375" s="3">
        <f>IF(OR(Q375="",R375="",Q375=0),"",R375/Q375*100)</f>
        <v/>
      </c>
    </row>
    <row r="376" ht="16" customHeight="1">
      <c r="A376" s="2" t="inlineStr">
        <is>
          <t>6414</t>
        </is>
      </c>
      <c r="B376" s="2" t="inlineStr">
        <is>
          <t>樺漢</t>
        </is>
      </c>
      <c r="C376" s="2" t="inlineStr">
        <is>
          <t>電子工業</t>
        </is>
      </c>
      <c r="D376" s="3" t="n">
        <v>20.11</v>
      </c>
      <c r="E376" s="3" t="n">
        <v>5.37</v>
      </c>
      <c r="F376" s="3" t="n">
        <v>4.96</v>
      </c>
      <c r="G376" s="3" t="n">
        <v>19.32</v>
      </c>
      <c r="H376" s="3" t="n">
        <v>5.55</v>
      </c>
      <c r="I376" s="3" t="n">
        <v>5.74</v>
      </c>
      <c r="J376" s="4">
        <f>IF(OR(D376="",G376=""),"",G376-D376)</f>
        <v/>
      </c>
      <c r="K376" s="4">
        <f>IF(OR(E376="",H376=""),"",H376-E376)</f>
        <v/>
      </c>
      <c r="L376" s="4">
        <f>IF(OR(F376="",I376=""),"",I376-F376)</f>
        <v/>
      </c>
      <c r="M376" s="3" t="n">
        <v>5.15</v>
      </c>
      <c r="N376" s="3" t="n">
        <v>12.3</v>
      </c>
      <c r="O376" s="3" t="n">
        <v>7.15</v>
      </c>
      <c r="P376" s="3" t="n">
        <v>16.4</v>
      </c>
      <c r="Q376" s="3" t="n">
        <v>373</v>
      </c>
      <c r="R376" s="3" t="n">
        <v>13.78</v>
      </c>
      <c r="S376" s="3">
        <f>IF(OR(Q376="",R376="",Q376=0),"",R376/Q376*100)</f>
        <v/>
      </c>
    </row>
    <row r="377" ht="16" customHeight="1">
      <c r="A377" s="2" t="inlineStr">
        <is>
          <t>6415</t>
        </is>
      </c>
      <c r="B377" s="2" t="inlineStr">
        <is>
          <t>矽力-KY</t>
        </is>
      </c>
      <c r="C377" s="2" t="inlineStr">
        <is>
          <t>半導體業</t>
        </is>
      </c>
      <c r="D377" s="3" t="n">
        <v>48.22</v>
      </c>
      <c r="E377" s="3" t="n">
        <v>8.029999999999999</v>
      </c>
      <c r="F377" s="3" t="n">
        <v>15.18</v>
      </c>
      <c r="G377" s="3" t="n"/>
      <c r="H377" s="3" t="n"/>
      <c r="I377" s="3" t="n"/>
      <c r="J377" s="4">
        <f>IF(OR(D377="",G377=""),"",G377-D377)</f>
        <v/>
      </c>
      <c r="K377" s="4">
        <f>IF(OR(E377="",H377=""),"",H377-E377)</f>
        <v/>
      </c>
      <c r="L377" s="4">
        <f>IF(OR(F377="",I377=""),"",I377-F377)</f>
        <v/>
      </c>
      <c r="M377" s="3" t="n">
        <v>1.98</v>
      </c>
      <c r="N377" s="3" t="n"/>
      <c r="O377" s="3" t="n"/>
      <c r="P377" s="3" t="n">
        <v>64.52</v>
      </c>
      <c r="Q377" s="3" t="n">
        <v>502</v>
      </c>
      <c r="R377" s="3" t="n">
        <v>2.55</v>
      </c>
      <c r="S377" s="3">
        <f>IF(OR(Q377="",R377="",Q377=0),"",R377/Q377*100)</f>
        <v/>
      </c>
    </row>
    <row r="378" ht="16" customHeight="1">
      <c r="A378" s="2" t="inlineStr">
        <is>
          <t>6442</t>
        </is>
      </c>
      <c r="B378" s="2" t="inlineStr">
        <is>
          <t>光聖</t>
        </is>
      </c>
      <c r="C378" s="2" t="inlineStr">
        <is>
          <t>通信網路業</t>
        </is>
      </c>
      <c r="D378" s="3" t="n">
        <v>55.41</v>
      </c>
      <c r="E378" s="3" t="n">
        <v>26.4</v>
      </c>
      <c r="F378" s="3" t="n">
        <v>22.41</v>
      </c>
      <c r="G378" s="3" t="n">
        <v>62.51</v>
      </c>
      <c r="H378" s="3" t="n">
        <v>32.06</v>
      </c>
      <c r="I378" s="3" t="n">
        <v>24.18</v>
      </c>
      <c r="J378" s="4">
        <f>IF(OR(D378="",G378=""),"",G378-D378)</f>
        <v/>
      </c>
      <c r="K378" s="4">
        <f>IF(OR(E378="",H378=""),"",H378-E378)</f>
        <v/>
      </c>
      <c r="L378" s="4">
        <f>IF(OR(F378="",I378=""),"",I378-F378)</f>
        <v/>
      </c>
      <c r="M378" s="3" t="n">
        <v>7.82</v>
      </c>
      <c r="N378" s="3" t="n">
        <v>19.3</v>
      </c>
      <c r="O378" s="3" t="n">
        <v>11.48</v>
      </c>
      <c r="P378" s="3" t="n">
        <v>46.15</v>
      </c>
      <c r="Q378" s="3" t="n">
        <v>1230</v>
      </c>
      <c r="R378" s="3" t="n">
        <v>11.2587</v>
      </c>
      <c r="S378" s="3">
        <f>IF(OR(Q378="",R378="",Q378=0),"",R378/Q378*100)</f>
        <v/>
      </c>
    </row>
    <row r="379" ht="16" customHeight="1">
      <c r="A379" s="2" t="inlineStr">
        <is>
          <t>6443</t>
        </is>
      </c>
      <c r="B379" s="2" t="inlineStr">
        <is>
          <t>元晶</t>
        </is>
      </c>
      <c r="C379" s="2" t="inlineStr">
        <is>
          <t>光電</t>
        </is>
      </c>
      <c r="D379" s="3" t="n">
        <v>-5.14</v>
      </c>
      <c r="E379" s="3" t="n">
        <v>-18.79</v>
      </c>
      <c r="F379" s="3" t="n">
        <v>-24.78</v>
      </c>
      <c r="G379" s="3" t="n">
        <v>-53.3</v>
      </c>
      <c r="H379" s="3" t="n">
        <v>-82.93000000000001</v>
      </c>
      <c r="I379" s="3" t="n">
        <v>-77.01000000000001</v>
      </c>
      <c r="J379" s="4">
        <f>IF(OR(D379="",G379=""),"",G379-D379)</f>
        <v/>
      </c>
      <c r="K379" s="4">
        <f>IF(OR(E379="",H379=""),"",H379-E379)</f>
        <v/>
      </c>
      <c r="L379" s="4">
        <f>IF(OR(F379="",I379=""),"",I379-F379)</f>
        <v/>
      </c>
      <c r="M379" s="3" t="n">
        <v>-0.2</v>
      </c>
      <c r="N379" s="3" t="n">
        <v>-0.6</v>
      </c>
      <c r="O379" s="3" t="n">
        <v>-0.4</v>
      </c>
      <c r="P379" s="3" t="n"/>
      <c r="Q379" s="3" t="n">
        <v>23.55</v>
      </c>
      <c r="R379" s="3" t="n"/>
      <c r="S379" s="3">
        <f>IF(OR(Q379="",R379="",Q379=0),"",R379/Q379*100)</f>
        <v/>
      </c>
    </row>
    <row r="380" ht="16" customHeight="1">
      <c r="A380" s="2" t="inlineStr">
        <is>
          <t>6446</t>
        </is>
      </c>
      <c r="B380" s="2" t="inlineStr">
        <is>
          <t>藥華藥</t>
        </is>
      </c>
      <c r="C380" s="2" t="inlineStr">
        <is>
          <t>生技醫療業</t>
        </is>
      </c>
      <c r="D380" s="3" t="n">
        <v>87.87</v>
      </c>
      <c r="E380" s="3" t="n">
        <v>40.75</v>
      </c>
      <c r="F380" s="3" t="n">
        <v>41.97</v>
      </c>
      <c r="G380" s="3" t="n">
        <v>94.23</v>
      </c>
      <c r="H380" s="3" t="n">
        <v>46.02</v>
      </c>
      <c r="I380" s="3" t="n">
        <v>36.9</v>
      </c>
      <c r="J380" s="4">
        <f>IF(OR(D380="",G380=""),"",G380-D380)</f>
        <v/>
      </c>
      <c r="K380" s="4">
        <f>IF(OR(E380="",H380=""),"",H380-E380)</f>
        <v/>
      </c>
      <c r="L380" s="4">
        <f>IF(OR(F380="",I380=""),"",I380-F380)</f>
        <v/>
      </c>
      <c r="M380" s="3" t="n">
        <v>5.79</v>
      </c>
      <c r="N380" s="3" t="n">
        <v>12.6</v>
      </c>
      <c r="O380" s="3" t="n">
        <v>6.81</v>
      </c>
      <c r="P380" s="3" t="n">
        <v>73.45999999999999</v>
      </c>
      <c r="Q380" s="3" t="n">
        <v>1190</v>
      </c>
      <c r="R380" s="3" t="n">
        <v>1.49</v>
      </c>
      <c r="S380" s="3">
        <f>IF(OR(Q380="",R380="",Q380=0),"",R380/Q380*100)</f>
        <v/>
      </c>
    </row>
    <row r="381" ht="16" customHeight="1">
      <c r="A381" s="2" t="inlineStr">
        <is>
          <t>6449</t>
        </is>
      </c>
      <c r="B381" s="2" t="inlineStr">
        <is>
          <t>鈺邦</t>
        </is>
      </c>
      <c r="C381" s="2" t="inlineStr">
        <is>
          <t>電子零組件業</t>
        </is>
      </c>
      <c r="D381" s="3" t="n">
        <v>36.79</v>
      </c>
      <c r="E381" s="3" t="n">
        <v>19.21</v>
      </c>
      <c r="F381" s="3" t="n">
        <v>16.1</v>
      </c>
      <c r="G381" s="3" t="n">
        <v>34.36</v>
      </c>
      <c r="H381" s="3" t="n">
        <v>15.78</v>
      </c>
      <c r="I381" s="3" t="n">
        <v>13.54</v>
      </c>
      <c r="J381" s="4">
        <f>IF(OR(D381="",G381=""),"",G381-D381)</f>
        <v/>
      </c>
      <c r="K381" s="4">
        <f>IF(OR(E381="",H381=""),"",H381-E381)</f>
        <v/>
      </c>
      <c r="L381" s="4">
        <f>IF(OR(F381="",I381=""),"",I381-F381)</f>
        <v/>
      </c>
      <c r="M381" s="3" t="n">
        <v>2.11</v>
      </c>
      <c r="N381" s="3" t="n">
        <v>4.42</v>
      </c>
      <c r="O381" s="3" t="n">
        <v>2.31</v>
      </c>
      <c r="P381" s="3" t="n">
        <v>23.83</v>
      </c>
      <c r="Q381" s="3" t="n">
        <v>194.5</v>
      </c>
      <c r="R381" s="3" t="n">
        <v>4.2</v>
      </c>
      <c r="S381" s="3">
        <f>IF(OR(Q381="",R381="",Q381=0),"",R381/Q381*100)</f>
        <v/>
      </c>
    </row>
    <row r="382" ht="16" customHeight="1">
      <c r="A382" s="2" t="inlineStr">
        <is>
          <t>6451</t>
        </is>
      </c>
      <c r="B382" s="2" t="inlineStr">
        <is>
          <t>訊芯-KY</t>
        </is>
      </c>
      <c r="C382" s="2" t="inlineStr">
        <is>
          <t>半導體業</t>
        </is>
      </c>
      <c r="D382" s="3" t="n">
        <v>11.96</v>
      </c>
      <c r="E382" s="3" t="n">
        <v>-5.18</v>
      </c>
      <c r="F382" s="3" t="n">
        <v>-9.48</v>
      </c>
      <c r="G382" s="3" t="n"/>
      <c r="H382" s="3" t="n"/>
      <c r="I382" s="3" t="n"/>
      <c r="J382" s="4">
        <f>IF(OR(D382="",G382=""),"",G382-D382)</f>
        <v/>
      </c>
      <c r="K382" s="4">
        <f>IF(OR(E382="",H382=""),"",H382-E382)</f>
        <v/>
      </c>
      <c r="L382" s="4">
        <f>IF(OR(F382="",I382=""),"",I382-F382)</f>
        <v/>
      </c>
      <c r="M382" s="3" t="n">
        <v>-1.45</v>
      </c>
      <c r="N382" s="3" t="n"/>
      <c r="O382" s="3" t="n"/>
      <c r="P382" s="3" t="n"/>
      <c r="Q382" s="3" t="n">
        <v>329</v>
      </c>
      <c r="R382" s="3" t="n">
        <v>0.2177</v>
      </c>
      <c r="S382" s="3">
        <f>IF(OR(Q382="",R382="",Q382=0),"",R382/Q382*100)</f>
        <v/>
      </c>
    </row>
    <row r="383" ht="16" customHeight="1">
      <c r="A383" s="2" t="inlineStr">
        <is>
          <t>6456</t>
        </is>
      </c>
      <c r="B383" s="2" t="inlineStr">
        <is>
          <t>GIS-KY</t>
        </is>
      </c>
      <c r="C383" s="2" t="inlineStr">
        <is>
          <t>電子工業</t>
        </is>
      </c>
      <c r="D383" s="3" t="n">
        <v>4.98</v>
      </c>
      <c r="E383" s="3" t="n">
        <v>-2</v>
      </c>
      <c r="F383" s="3" t="n">
        <v>-1.27</v>
      </c>
      <c r="G383" s="3" t="n">
        <v>3.34</v>
      </c>
      <c r="H383" s="3" t="n">
        <v>-7.65</v>
      </c>
      <c r="I383" s="3" t="n">
        <v>-10.03</v>
      </c>
      <c r="J383" s="4">
        <f>IF(OR(D383="",G383=""),"",G383-D383)</f>
        <v/>
      </c>
      <c r="K383" s="4">
        <f>IF(OR(E383="",H383=""),"",H383-E383)</f>
        <v/>
      </c>
      <c r="L383" s="4">
        <f>IF(OR(F383="",I383=""),"",I383-F383)</f>
        <v/>
      </c>
      <c r="M383" s="3" t="n">
        <v>-0.61</v>
      </c>
      <c r="N383" s="3" t="n">
        <v>-3.76</v>
      </c>
      <c r="O383" s="3" t="n">
        <v>-3.15</v>
      </c>
      <c r="P383" s="3" t="n"/>
      <c r="Q383" s="3" t="n">
        <v>92.3</v>
      </c>
      <c r="R383" s="3" t="n"/>
      <c r="S383" s="3">
        <f>IF(OR(Q383="",R383="",Q383=0),"",R383/Q383*100)</f>
        <v/>
      </c>
    </row>
    <row r="384" ht="16" customHeight="1">
      <c r="A384" s="2" t="inlineStr">
        <is>
          <t>6472</t>
        </is>
      </c>
      <c r="B384" s="2" t="inlineStr">
        <is>
          <t>保瑞</t>
        </is>
      </c>
      <c r="C384" s="2" t="inlineStr">
        <is>
          <t>生技醫療業</t>
        </is>
      </c>
      <c r="D384" s="3" t="n">
        <v>36.05</v>
      </c>
      <c r="E384" s="3" t="n">
        <v>10.18</v>
      </c>
      <c r="F384" s="3" t="n">
        <v>0.8100000000000001</v>
      </c>
      <c r="G384" s="3" t="n">
        <v>41.49</v>
      </c>
      <c r="H384" s="3" t="n">
        <v>20.39</v>
      </c>
      <c r="I384" s="3" t="n">
        <v>13.05</v>
      </c>
      <c r="J384" s="4">
        <f>IF(OR(D384="",G384=""),"",G384-D384)</f>
        <v/>
      </c>
      <c r="K384" s="4">
        <f>IF(OR(E384="",H384=""),"",H384-E384)</f>
        <v/>
      </c>
      <c r="L384" s="4">
        <f>IF(OR(F384="",I384=""),"",I384-F384)</f>
        <v/>
      </c>
      <c r="M384" s="3" t="n">
        <v>0.21</v>
      </c>
      <c r="N384" s="3" t="n">
        <v>4.57</v>
      </c>
      <c r="O384" s="3" t="n">
        <v>4.36</v>
      </c>
      <c r="P384" s="3" t="n">
        <v>37.51</v>
      </c>
      <c r="Q384" s="3" t="n">
        <v>379</v>
      </c>
      <c r="R384" s="3" t="n">
        <v>10</v>
      </c>
      <c r="S384" s="3">
        <f>IF(OR(Q384="",R384="",Q384=0),"",R384/Q384*100)</f>
        <v/>
      </c>
    </row>
    <row r="385" ht="16" customHeight="1">
      <c r="A385" s="2" t="inlineStr">
        <is>
          <t>6488</t>
        </is>
      </c>
      <c r="B385" s="2" t="inlineStr">
        <is>
          <t>環球晶</t>
        </is>
      </c>
      <c r="C385" s="2" t="inlineStr">
        <is>
          <t>半導體業</t>
        </is>
      </c>
      <c r="D385" s="3" t="n">
        <v>20.83</v>
      </c>
      <c r="E385" s="3" t="n">
        <v>10.55</v>
      </c>
      <c r="F385" s="3" t="n">
        <v>13.56</v>
      </c>
      <c r="G385" s="3" t="n">
        <v>20.64</v>
      </c>
      <c r="H385" s="3" t="n">
        <v>9.359999999999999</v>
      </c>
      <c r="I385" s="3" t="n">
        <v>24.85</v>
      </c>
      <c r="J385" s="4">
        <f>IF(OR(D385="",G385=""),"",G385-D385)</f>
        <v/>
      </c>
      <c r="K385" s="4">
        <f>IF(OR(E385="",H385=""),"",H385-E385)</f>
        <v/>
      </c>
      <c r="L385" s="4">
        <f>IF(OR(F385="",I385=""),"",I385-F385)</f>
        <v/>
      </c>
      <c r="M385" s="3" t="n">
        <v>3.97</v>
      </c>
      <c r="N385" s="3" t="n">
        <v>11.89</v>
      </c>
      <c r="O385" s="3" t="n">
        <v>7.92</v>
      </c>
      <c r="P385" s="3" t="n">
        <v>49.03</v>
      </c>
      <c r="Q385" s="3" t="n">
        <v>756</v>
      </c>
      <c r="R385" s="3" t="n">
        <v>5.7</v>
      </c>
      <c r="S385" s="3">
        <f>IF(OR(Q385="",R385="",Q385=0),"",R385/Q385*100)</f>
        <v/>
      </c>
    </row>
    <row r="386" ht="16" customHeight="1">
      <c r="A386" s="2" t="inlineStr">
        <is>
          <t>6491</t>
        </is>
      </c>
      <c r="B386" s="2" t="inlineStr">
        <is>
          <t>晶碩</t>
        </is>
      </c>
      <c r="C386" s="2" t="inlineStr">
        <is>
          <t>生技</t>
        </is>
      </c>
      <c r="D386" s="3" t="n">
        <v>53.33</v>
      </c>
      <c r="E386" s="3" t="n">
        <v>28.79</v>
      </c>
      <c r="F386" s="3" t="n">
        <v>25.35</v>
      </c>
      <c r="G386" s="3" t="n">
        <v>52.99</v>
      </c>
      <c r="H386" s="3" t="n">
        <v>27.65</v>
      </c>
      <c r="I386" s="3" t="n">
        <v>25.97</v>
      </c>
      <c r="J386" s="4">
        <f>IF(OR(D386="",G386=""),"",G386-D386)</f>
        <v/>
      </c>
      <c r="K386" s="4">
        <f>IF(OR(E386="",H386=""),"",H386-E386)</f>
        <v/>
      </c>
      <c r="L386" s="4">
        <f>IF(OR(F386="",I386=""),"",I386-F386)</f>
        <v/>
      </c>
      <c r="M386" s="3" t="n">
        <v>6.06</v>
      </c>
      <c r="N386" s="3" t="n"/>
      <c r="O386" s="3" t="n"/>
      <c r="P386" s="3" t="n">
        <v>15.51</v>
      </c>
      <c r="Q386" s="3" t="n">
        <v>419</v>
      </c>
      <c r="R386" s="3" t="n">
        <v>10</v>
      </c>
      <c r="S386" s="3">
        <f>IF(OR(Q386="",R386="",Q386=0),"",R386/Q386*100)</f>
        <v/>
      </c>
    </row>
    <row r="387" ht="16" customHeight="1">
      <c r="A387" s="2" t="inlineStr">
        <is>
          <t>6505</t>
        </is>
      </c>
      <c r="B387" s="2" t="inlineStr">
        <is>
          <t>台塑化</t>
        </is>
      </c>
      <c r="C387" s="2" t="inlineStr">
        <is>
          <t>油電燃氣業</t>
        </is>
      </c>
      <c r="D387" s="3" t="n">
        <v>16.79</v>
      </c>
      <c r="E387" s="3" t="n">
        <v>15.13</v>
      </c>
      <c r="F387" s="3" t="n">
        <v>12.6</v>
      </c>
      <c r="G387" s="3" t="n">
        <v>13.89</v>
      </c>
      <c r="H387" s="3" t="n">
        <v>12.51</v>
      </c>
      <c r="I387" s="3" t="n">
        <v>11.36</v>
      </c>
      <c r="J387" s="4">
        <f>IF(OR(D387="",G387=""),"",G387-D387)</f>
        <v/>
      </c>
      <c r="K387" s="4">
        <f>IF(OR(E387="",H387=""),"",H387-E387)</f>
        <v/>
      </c>
      <c r="L387" s="4">
        <f>IF(OR(F387="",I387=""),"",I387-F387)</f>
        <v/>
      </c>
      <c r="M387" s="3" t="n">
        <v>2.14</v>
      </c>
      <c r="N387" s="3" t="n">
        <v>4.32</v>
      </c>
      <c r="O387" s="3" t="n">
        <v>2.18</v>
      </c>
      <c r="P387" s="3" t="n">
        <v>12.31</v>
      </c>
      <c r="Q387" s="3" t="n">
        <v>98.3</v>
      </c>
      <c r="R387" s="3" t="n">
        <v>1.2</v>
      </c>
      <c r="S387" s="3">
        <f>IF(OR(Q387="",R387="",Q387=0),"",R387/Q387*100)</f>
        <v/>
      </c>
    </row>
    <row r="388" ht="16" customHeight="1">
      <c r="A388" s="2" t="inlineStr">
        <is>
          <t>6510</t>
        </is>
      </c>
      <c r="B388" s="2" t="inlineStr">
        <is>
          <t>精測</t>
        </is>
      </c>
      <c r="C388" s="2" t="inlineStr">
        <is>
          <t>半導體業</t>
        </is>
      </c>
      <c r="D388" s="3" t="n">
        <v>56.77</v>
      </c>
      <c r="E388" s="3" t="n">
        <v>29.26</v>
      </c>
      <c r="F388" s="3" t="n">
        <v>24.97</v>
      </c>
      <c r="G388" s="3" t="n">
        <v>57.52</v>
      </c>
      <c r="H388" s="3" t="n">
        <v>34.74</v>
      </c>
      <c r="I388" s="3" t="n">
        <v>30.04</v>
      </c>
      <c r="J388" s="4">
        <f>IF(OR(D388="",G388=""),"",G388-D388)</f>
        <v/>
      </c>
      <c r="K388" s="4">
        <f>IF(OR(E388="",H388=""),"",H388-E388)</f>
        <v/>
      </c>
      <c r="L388" s="4">
        <f>IF(OR(F388="",I388=""),"",I388-F388)</f>
        <v/>
      </c>
      <c r="M388" s="3" t="n">
        <v>10.43</v>
      </c>
      <c r="N388" s="3" t="n">
        <v>25.59</v>
      </c>
      <c r="O388" s="3" t="n">
        <v>15.16</v>
      </c>
      <c r="P388" s="3" t="n">
        <v>70.52</v>
      </c>
      <c r="Q388" s="3" t="n">
        <v>2820</v>
      </c>
      <c r="R388" s="3" t="n">
        <v>15.23</v>
      </c>
      <c r="S388" s="3">
        <f>IF(OR(Q388="",R388="",Q388=0),"",R388/Q388*100)</f>
        <v/>
      </c>
    </row>
    <row r="389" ht="16" customHeight="1">
      <c r="A389" s="2" t="inlineStr">
        <is>
          <t>6515</t>
        </is>
      </c>
      <c r="B389" s="2" t="inlineStr">
        <is>
          <t>穎崴</t>
        </is>
      </c>
      <c r="C389" s="2" t="inlineStr">
        <is>
          <t>半導體業</t>
        </is>
      </c>
      <c r="D389" s="3" t="n">
        <v>43.01</v>
      </c>
      <c r="E389" s="3" t="n">
        <v>26.06</v>
      </c>
      <c r="F389" s="3" t="n">
        <v>23.44</v>
      </c>
      <c r="G389" s="3" t="n">
        <v>38.32</v>
      </c>
      <c r="H389" s="3" t="n">
        <v>23.42</v>
      </c>
      <c r="I389" s="3" t="n">
        <v>19.09</v>
      </c>
      <c r="J389" s="4">
        <f>IF(OR(D389="",G389=""),"",G389-D389)</f>
        <v/>
      </c>
      <c r="K389" s="4">
        <f>IF(OR(E389="",H389=""),"",H389-E389)</f>
        <v/>
      </c>
      <c r="L389" s="4">
        <f>IF(OR(F389="",I389=""),"",I389-F389)</f>
        <v/>
      </c>
      <c r="M389" s="3" t="n">
        <v>19.54</v>
      </c>
      <c r="N389" s="3" t="n">
        <v>38.35</v>
      </c>
      <c r="O389" s="3" t="n">
        <v>18.81</v>
      </c>
      <c r="P389" s="3" t="n">
        <v>110.51</v>
      </c>
      <c r="Q389" s="3" t="n">
        <v>4565</v>
      </c>
      <c r="R389" s="3" t="n">
        <v>24.72</v>
      </c>
      <c r="S389" s="3">
        <f>IF(OR(Q389="",R389="",Q389=0),"",R389/Q389*100)</f>
        <v/>
      </c>
    </row>
    <row r="390" ht="16" customHeight="1">
      <c r="A390" s="2" t="inlineStr">
        <is>
          <t>6525</t>
        </is>
      </c>
      <c r="B390" s="2" t="inlineStr">
        <is>
          <t>捷敏-KY</t>
        </is>
      </c>
      <c r="C390" s="2" t="inlineStr">
        <is>
          <t>半導體</t>
        </is>
      </c>
      <c r="D390" s="3" t="n">
        <v>26.14</v>
      </c>
      <c r="E390" s="3" t="n">
        <v>19.12</v>
      </c>
      <c r="F390" s="3" t="n">
        <v>15.38</v>
      </c>
      <c r="G390" s="3" t="n"/>
      <c r="H390" s="3" t="n"/>
      <c r="I390" s="3" t="n"/>
      <c r="J390" s="4">
        <f>IF(OR(D390="",G390=""),"",G390-D390)</f>
        <v/>
      </c>
      <c r="K390" s="4">
        <f>IF(OR(E390="",H390=""),"",H390-E390)</f>
        <v/>
      </c>
      <c r="L390" s="4">
        <f>IF(OR(F390="",I390=""),"",I390-F390)</f>
        <v/>
      </c>
      <c r="M390" s="3" t="n">
        <v>1.62</v>
      </c>
      <c r="N390" s="3" t="n"/>
      <c r="O390" s="3" t="n"/>
      <c r="P390" s="3" t="n">
        <v>19.19</v>
      </c>
      <c r="Q390" s="3" t="n">
        <v>113</v>
      </c>
      <c r="R390" s="3" t="n">
        <v>5</v>
      </c>
      <c r="S390" s="3">
        <f>IF(OR(Q390="",R390="",Q390=0),"",R390/Q390*100)</f>
        <v/>
      </c>
    </row>
    <row r="391" ht="16" customHeight="1">
      <c r="A391" s="2" t="inlineStr">
        <is>
          <t>6526</t>
        </is>
      </c>
      <c r="B391" s="2" t="inlineStr">
        <is>
          <t>達發</t>
        </is>
      </c>
      <c r="C391" s="2" t="inlineStr">
        <is>
          <t>半導體業</t>
        </is>
      </c>
      <c r="D391" s="3" t="n">
        <v>52.73</v>
      </c>
      <c r="E391" s="3" t="n">
        <v>14.96</v>
      </c>
      <c r="F391" s="3" t="n">
        <v>13.67</v>
      </c>
      <c r="G391" s="3" t="n">
        <v>51.16</v>
      </c>
      <c r="H391" s="3" t="n">
        <v>15</v>
      </c>
      <c r="I391" s="3" t="n">
        <v>14.1</v>
      </c>
      <c r="J391" s="4">
        <f>IF(OR(D391="",G391=""),"",G391-D391)</f>
        <v/>
      </c>
      <c r="K391" s="4">
        <f>IF(OR(E391="",H391=""),"",H391-E391)</f>
        <v/>
      </c>
      <c r="L391" s="4">
        <f>IF(OR(F391="",I391=""),"",I391-F391)</f>
        <v/>
      </c>
      <c r="M391" s="3" t="n">
        <v>4.47</v>
      </c>
      <c r="N391" s="3" t="n">
        <v>9.779999999999999</v>
      </c>
      <c r="O391" s="3" t="n">
        <v>5.31</v>
      </c>
      <c r="P391" s="3" t="n">
        <v>33.83</v>
      </c>
      <c r="Q391" s="3" t="n">
        <v>765</v>
      </c>
      <c r="R391" s="3" t="n">
        <v>7.5</v>
      </c>
      <c r="S391" s="3">
        <f>IF(OR(Q391="",R391="",Q391=0),"",R391/Q391*100)</f>
        <v/>
      </c>
    </row>
    <row r="392" ht="16" customHeight="1">
      <c r="A392" s="2" t="inlineStr">
        <is>
          <t>6531</t>
        </is>
      </c>
      <c r="B392" s="2" t="inlineStr">
        <is>
          <t>愛普</t>
        </is>
      </c>
      <c r="C392" s="2" t="inlineStr">
        <is>
          <t>半導體業</t>
        </is>
      </c>
      <c r="D392" s="3" t="n">
        <v>46.19</v>
      </c>
      <c r="E392" s="3" t="n">
        <v>28.01</v>
      </c>
      <c r="F392" s="3" t="n">
        <v>31.43</v>
      </c>
      <c r="G392" s="3" t="n">
        <v>49.06</v>
      </c>
      <c r="H392" s="3" t="n">
        <v>30.71</v>
      </c>
      <c r="I392" s="3" t="n">
        <v>28.24</v>
      </c>
      <c r="J392" s="4">
        <f>IF(OR(D392="",G392=""),"",G392-D392)</f>
        <v/>
      </c>
      <c r="K392" s="4">
        <f>IF(OR(E392="",H392=""),"",H392-E392)</f>
        <v/>
      </c>
      <c r="L392" s="4">
        <f>IF(OR(F392="",I392=""),"",I392-F392)</f>
        <v/>
      </c>
      <c r="M392" s="3" t="n">
        <v>4.15</v>
      </c>
      <c r="N392" s="3" t="n">
        <v>8.35</v>
      </c>
      <c r="O392" s="3" t="n">
        <v>4.2</v>
      </c>
      <c r="P392" s="3" t="n">
        <v>53.75</v>
      </c>
      <c r="Q392" s="3" t="n">
        <v>776</v>
      </c>
      <c r="R392" s="3" t="n">
        <v>6.99</v>
      </c>
      <c r="S392" s="3">
        <f>IF(OR(Q392="",R392="",Q392=0),"",R392/Q392*100)</f>
        <v/>
      </c>
    </row>
    <row r="393" ht="16" customHeight="1">
      <c r="A393" s="2" t="inlineStr">
        <is>
          <t>6535</t>
        </is>
      </c>
      <c r="B393" s="2" t="inlineStr">
        <is>
          <t>順藥</t>
        </is>
      </c>
      <c r="C393" s="2" t="inlineStr">
        <is>
          <t>生技醫療業</t>
        </is>
      </c>
      <c r="D393" s="3" t="n">
        <v>40.55</v>
      </c>
      <c r="E393" s="3" t="n">
        <v>-1483.36</v>
      </c>
      <c r="F393" s="3" t="n">
        <v>-2693.2</v>
      </c>
      <c r="G393" s="3" t="n">
        <v>31.55</v>
      </c>
      <c r="H393" s="3" t="n">
        <v>-2359.73</v>
      </c>
      <c r="I393" s="3" t="n">
        <v>-3183.77</v>
      </c>
      <c r="J393" s="4">
        <f>IF(OR(D393="",G393=""),"",G393-D393)</f>
        <v/>
      </c>
      <c r="K393" s="4">
        <f>IF(OR(E393="",H393=""),"",H393-E393)</f>
        <v/>
      </c>
      <c r="L393" s="4">
        <f>IF(OR(F393="",I393=""),"",I393-F393)</f>
        <v/>
      </c>
      <c r="M393" s="3" t="n">
        <v>-0.72</v>
      </c>
      <c r="N393" s="3" t="n">
        <v>-1.69</v>
      </c>
      <c r="O393" s="3" t="n">
        <v>-0.97</v>
      </c>
      <c r="P393" s="3" t="n"/>
      <c r="Q393" s="3" t="n">
        <v>68.40000000000001</v>
      </c>
      <c r="R393" s="3" t="n"/>
      <c r="S393" s="3">
        <f>IF(OR(Q393="",R393="",Q393=0),"",R393/Q393*100)</f>
        <v/>
      </c>
    </row>
    <row r="394" ht="16" customHeight="1">
      <c r="A394" s="2" t="inlineStr">
        <is>
          <t>6547</t>
        </is>
      </c>
      <c r="B394" s="2" t="inlineStr">
        <is>
          <t>高端疫苗</t>
        </is>
      </c>
      <c r="C394" s="2" t="inlineStr">
        <is>
          <t>生技醫療業</t>
        </is>
      </c>
      <c r="D394" s="3" t="n">
        <v>74.73999999999999</v>
      </c>
      <c r="E394" s="3" t="n">
        <v>-30.12</v>
      </c>
      <c r="F394" s="3" t="n">
        <v>-26.75</v>
      </c>
      <c r="G394" s="3" t="n">
        <v>81.54000000000001</v>
      </c>
      <c r="H394" s="3" t="n">
        <v>18.57</v>
      </c>
      <c r="I394" s="3" t="n">
        <v>19.43</v>
      </c>
      <c r="J394" s="4">
        <f>IF(OR(D394="",G394=""),"",G394-D394)</f>
        <v/>
      </c>
      <c r="K394" s="4">
        <f>IF(OR(E394="",H394=""),"",H394-E394)</f>
        <v/>
      </c>
      <c r="L394" s="4">
        <f>IF(OR(F394="",I394=""),"",I394-F394)</f>
        <v/>
      </c>
      <c r="M394" s="3" t="n">
        <v>-0.09</v>
      </c>
      <c r="N394" s="3" t="n">
        <v>-0.02</v>
      </c>
      <c r="O394" s="3" t="n">
        <v>0.07000000000000001</v>
      </c>
      <c r="P394" s="3" t="n"/>
      <c r="Q394" s="3" t="n">
        <v>48.85</v>
      </c>
      <c r="R394" s="3" t="n"/>
      <c r="S394" s="3">
        <f>IF(OR(Q394="",R394="",Q394=0),"",R394/Q394*100)</f>
        <v/>
      </c>
    </row>
    <row r="395" ht="16" customHeight="1">
      <c r="A395" s="2" t="inlineStr">
        <is>
          <t>6548</t>
        </is>
      </c>
      <c r="B395" s="2" t="inlineStr">
        <is>
          <t>長科</t>
        </is>
      </c>
      <c r="C395" s="2" t="inlineStr">
        <is>
          <t>半導體業</t>
        </is>
      </c>
      <c r="D395" s="3" t="n">
        <v>21.71</v>
      </c>
      <c r="E395" s="3" t="n">
        <v>13.82</v>
      </c>
      <c r="F395" s="3" t="n">
        <v>13.21</v>
      </c>
      <c r="G395" s="3" t="n">
        <v>22.73</v>
      </c>
      <c r="H395" s="3" t="n">
        <v>14.74</v>
      </c>
      <c r="I395" s="3" t="n">
        <v>15.64</v>
      </c>
      <c r="J395" s="4">
        <f>IF(OR(D395="",G395=""),"",G395-D395)</f>
        <v/>
      </c>
      <c r="K395" s="4">
        <f>IF(OR(E395="",H395=""),"",H395-E395)</f>
        <v/>
      </c>
      <c r="L395" s="4">
        <f>IF(OR(F395="",I395=""),"",I395-F395)</f>
        <v/>
      </c>
      <c r="M395" s="3" t="n">
        <v>0.51</v>
      </c>
      <c r="N395" s="3" t="n">
        <v>1.22</v>
      </c>
      <c r="O395" s="3" t="n">
        <v>0.71</v>
      </c>
      <c r="P395" s="3" t="n">
        <v>32.7</v>
      </c>
      <c r="Q395" s="3" t="n">
        <v>67.09999999999999</v>
      </c>
      <c r="R395" s="3" t="n">
        <v>0.9</v>
      </c>
      <c r="S395" s="3">
        <f>IF(OR(Q395="",R395="",Q395=0),"",R395/Q395*100)</f>
        <v/>
      </c>
    </row>
    <row r="396" ht="16" customHeight="1">
      <c r="A396" s="2" t="inlineStr">
        <is>
          <t>6561</t>
        </is>
      </c>
      <c r="B396" s="2" t="inlineStr">
        <is>
          <t>是方</t>
        </is>
      </c>
      <c r="C396" s="2" t="inlineStr"/>
      <c r="D396" s="3" t="n">
        <v>48.94</v>
      </c>
      <c r="E396" s="3" t="n">
        <v>37.22</v>
      </c>
      <c r="F396" s="3" t="n">
        <v>29.28</v>
      </c>
      <c r="G396" s="3" t="n">
        <v>48.18</v>
      </c>
      <c r="H396" s="3" t="n">
        <v>37.24</v>
      </c>
      <c r="I396" s="3" t="n">
        <v>28.68</v>
      </c>
      <c r="J396" s="4">
        <f>IF(OR(D396="",G396=""),"",G396-D396)</f>
        <v/>
      </c>
      <c r="K396" s="4">
        <f>IF(OR(E396="",H396=""),"",H396-E396)</f>
        <v/>
      </c>
      <c r="L396" s="4">
        <f>IF(OR(F396="",I396=""),"",I396-F396)</f>
        <v/>
      </c>
      <c r="M396" s="3" t="n">
        <v>3.69</v>
      </c>
      <c r="N396" s="3" t="n">
        <v>7.53</v>
      </c>
      <c r="O396" s="3" t="n">
        <v>3.84</v>
      </c>
      <c r="P396" s="3" t="n">
        <v>21.5</v>
      </c>
      <c r="Q396" s="3" t="n">
        <v>335</v>
      </c>
      <c r="R396" s="3" t="n">
        <v>7.6988</v>
      </c>
      <c r="S396" s="3">
        <f>IF(OR(Q396="",R396="",Q396=0),"",R396/Q396*100)</f>
        <v/>
      </c>
    </row>
    <row r="397" ht="16" customHeight="1">
      <c r="A397" s="2" t="inlineStr">
        <is>
          <t>6579</t>
        </is>
      </c>
      <c r="B397" s="2" t="inlineStr">
        <is>
          <t>研揚</t>
        </is>
      </c>
      <c r="C397" s="2" t="inlineStr">
        <is>
          <t>電子工業</t>
        </is>
      </c>
      <c r="D397" s="3" t="n">
        <v>34.83</v>
      </c>
      <c r="E397" s="3" t="n">
        <v>8.699999999999999</v>
      </c>
      <c r="F397" s="3" t="n">
        <v>21.61</v>
      </c>
      <c r="G397" s="3" t="n"/>
      <c r="H397" s="3" t="n"/>
      <c r="I397" s="3" t="n"/>
      <c r="J397" s="4">
        <f>IF(OR(D397="",G397=""),"",G397-D397)</f>
        <v/>
      </c>
      <c r="K397" s="4">
        <f>IF(OR(E397="",H397=""),"",H397-E397)</f>
        <v/>
      </c>
      <c r="L397" s="4">
        <f>IF(OR(F397="",I397=""),"",I397-F397)</f>
        <v/>
      </c>
      <c r="M397" s="3" t="n">
        <v>3.81</v>
      </c>
      <c r="N397" s="3" t="n">
        <v>6.15</v>
      </c>
      <c r="O397" s="3" t="n">
        <v>2.34</v>
      </c>
      <c r="P397" s="3" t="n">
        <v>20.22</v>
      </c>
      <c r="Q397" s="3" t="n">
        <v>137</v>
      </c>
      <c r="R397" s="3" t="n">
        <v>3.75</v>
      </c>
      <c r="S397" s="3">
        <f>IF(OR(Q397="",R397="",Q397=0),"",R397/Q397*100)</f>
        <v/>
      </c>
    </row>
    <row r="398" ht="16" customHeight="1">
      <c r="A398" s="2" t="inlineStr">
        <is>
          <t>6584</t>
        </is>
      </c>
      <c r="B398" s="2" t="inlineStr">
        <is>
          <t>南俊國際</t>
        </is>
      </c>
      <c r="C398" s="2" t="inlineStr">
        <is>
          <t>電子零組件業</t>
        </is>
      </c>
      <c r="D398" s="3" t="n">
        <v>41.55</v>
      </c>
      <c r="E398" s="3" t="n">
        <v>29.46</v>
      </c>
      <c r="F398" s="3" t="n">
        <v>27.13</v>
      </c>
      <c r="G398" s="3" t="n">
        <v>41.81</v>
      </c>
      <c r="H398" s="3" t="n">
        <v>29.71</v>
      </c>
      <c r="I398" s="3" t="n">
        <v>25.9</v>
      </c>
      <c r="J398" s="4">
        <f>IF(OR(D398="",G398=""),"",G398-D398)</f>
        <v/>
      </c>
      <c r="K398" s="4">
        <f>IF(OR(E398="",H398=""),"",H398-E398)</f>
        <v/>
      </c>
      <c r="L398" s="4">
        <f>IF(OR(F398="",I398=""),"",I398-F398)</f>
        <v/>
      </c>
      <c r="M398" s="3" t="n">
        <v>3.37</v>
      </c>
      <c r="N398" s="3" t="n">
        <v>6.51</v>
      </c>
      <c r="O398" s="3" t="n">
        <v>3.14</v>
      </c>
      <c r="P398" s="3" t="n">
        <v>53.79</v>
      </c>
      <c r="Q398" s="3" t="n">
        <v>409</v>
      </c>
      <c r="R398" s="3" t="n"/>
      <c r="S398" s="3">
        <f>IF(OR(Q398="",R398="",Q398=0),"",R398/Q398*100)</f>
        <v/>
      </c>
    </row>
    <row r="399" ht="16" customHeight="1">
      <c r="A399" s="2" t="inlineStr">
        <is>
          <t>6592</t>
        </is>
      </c>
      <c r="B399" s="2" t="inlineStr">
        <is>
          <t>和潤企業</t>
        </is>
      </c>
      <c r="C399" s="2" t="inlineStr">
        <is>
          <t>其他</t>
        </is>
      </c>
      <c r="D399" s="3" t="n">
        <v>61.82</v>
      </c>
      <c r="E399" s="3" t="n">
        <v>19.17</v>
      </c>
      <c r="F399" s="3" t="n">
        <v>15.9</v>
      </c>
      <c r="G399" s="3" t="n">
        <v>61.45</v>
      </c>
      <c r="H399" s="3" t="n">
        <v>20.52</v>
      </c>
      <c r="I399" s="3" t="n">
        <v>16.8</v>
      </c>
      <c r="J399" s="4">
        <f>IF(OR(D399="",G399=""),"",G399-D399)</f>
        <v/>
      </c>
      <c r="K399" s="4">
        <f>IF(OR(E399="",H399=""),"",H399-E399)</f>
        <v/>
      </c>
      <c r="L399" s="4">
        <f>IF(OR(F399="",I399=""),"",I399-F399)</f>
        <v/>
      </c>
      <c r="M399" s="3" t="n">
        <v>0.76</v>
      </c>
      <c r="N399" s="3" t="n">
        <v>1.56</v>
      </c>
      <c r="O399" s="3" t="n">
        <v>0.8</v>
      </c>
      <c r="P399" s="3" t="n">
        <v>12.33</v>
      </c>
      <c r="Q399" s="3" t="n">
        <v>56.9</v>
      </c>
      <c r="R399" s="3" t="n">
        <v>3</v>
      </c>
      <c r="S399" s="3">
        <f>IF(OR(Q399="",R399="",Q399=0),"",R399/Q399*100)</f>
        <v/>
      </c>
    </row>
    <row r="400" ht="16" customHeight="1">
      <c r="A400" s="2" t="inlineStr">
        <is>
          <t>6605</t>
        </is>
      </c>
      <c r="B400" s="2" t="inlineStr">
        <is>
          <t>帝寶</t>
        </is>
      </c>
      <c r="C400" s="2" t="inlineStr">
        <is>
          <t>汽車</t>
        </is>
      </c>
      <c r="D400" s="3" t="n">
        <v>33.5</v>
      </c>
      <c r="E400" s="3" t="n">
        <v>18.3</v>
      </c>
      <c r="F400" s="3" t="n">
        <v>15.5</v>
      </c>
      <c r="G400" s="3" t="n"/>
      <c r="H400" s="3" t="n"/>
      <c r="I400" s="3" t="n"/>
      <c r="J400" s="4">
        <f>IF(OR(D400="",G400=""),"",G400-D400)</f>
        <v/>
      </c>
      <c r="K400" s="4">
        <f>IF(OR(E400="",H400=""),"",H400-E400)</f>
        <v/>
      </c>
      <c r="L400" s="4">
        <f>IF(OR(F400="",I400=""),"",I400-F400)</f>
        <v/>
      </c>
      <c r="M400" s="3" t="n">
        <v>4.41</v>
      </c>
      <c r="N400" s="3" t="n"/>
      <c r="O400" s="3" t="n"/>
      <c r="P400" s="3" t="n">
        <v>8.73</v>
      </c>
      <c r="Q400" s="3" t="n">
        <v>133.5</v>
      </c>
      <c r="R400" s="3" t="n"/>
      <c r="S400" s="3">
        <f>IF(OR(Q400="",R400="",Q400=0),"",R400/Q400*100)</f>
        <v/>
      </c>
    </row>
    <row r="401" ht="16" customHeight="1">
      <c r="A401" s="2" t="inlineStr">
        <is>
          <t>6613</t>
        </is>
      </c>
      <c r="B401" s="2" t="inlineStr">
        <is>
          <t>朋億</t>
        </is>
      </c>
      <c r="C401" s="2" t="inlineStr">
        <is>
          <t>其他電子類</t>
        </is>
      </c>
      <c r="D401" s="3" t="n">
        <v>32.09</v>
      </c>
      <c r="E401" s="3" t="n">
        <v>20.16</v>
      </c>
      <c r="F401" s="3" t="n">
        <v>15.13</v>
      </c>
      <c r="G401" s="3" t="n">
        <v>23.97</v>
      </c>
      <c r="H401" s="3" t="n">
        <v>13.14</v>
      </c>
      <c r="I401" s="3" t="n">
        <v>11.65</v>
      </c>
      <c r="J401" s="4">
        <f>IF(OR(D401="",G401=""),"",G401-D401)</f>
        <v/>
      </c>
      <c r="K401" s="4">
        <f>IF(OR(E401="",H401=""),"",H401-E401)</f>
        <v/>
      </c>
      <c r="L401" s="4">
        <f>IF(OR(F401="",I401=""),"",I401-F401)</f>
        <v/>
      </c>
      <c r="M401" s="3" t="n">
        <v>3.84</v>
      </c>
      <c r="N401" s="3" t="n">
        <v>8.619999999999999</v>
      </c>
      <c r="O401" s="3" t="n">
        <v>4.78</v>
      </c>
      <c r="P401" s="3" t="n">
        <v>16.06</v>
      </c>
      <c r="Q401" s="3" t="n">
        <v>244</v>
      </c>
      <c r="R401" s="3" t="n">
        <v>10</v>
      </c>
      <c r="S401" s="3">
        <f>IF(OR(Q401="",R401="",Q401=0),"",R401/Q401*100)</f>
        <v/>
      </c>
    </row>
    <row r="402" ht="16" customHeight="1">
      <c r="A402" s="2" t="inlineStr">
        <is>
          <t>6640</t>
        </is>
      </c>
      <c r="B402" s="2" t="inlineStr">
        <is>
          <t>均華</t>
        </is>
      </c>
      <c r="C402" s="2" t="inlineStr">
        <is>
          <t>半導體業</t>
        </is>
      </c>
      <c r="D402" s="3" t="n">
        <v>44.9</v>
      </c>
      <c r="E402" s="3" t="n">
        <v>21.67</v>
      </c>
      <c r="F402" s="3" t="n">
        <v>17.71</v>
      </c>
      <c r="G402" s="3" t="n">
        <v>41.36</v>
      </c>
      <c r="H402" s="3" t="n">
        <v>16.91</v>
      </c>
      <c r="I402" s="3" t="n">
        <v>14.98</v>
      </c>
      <c r="J402" s="4">
        <f>IF(OR(D402="",G402=""),"",G402-D402)</f>
        <v/>
      </c>
      <c r="K402" s="4">
        <f>IF(OR(E402="",H402=""),"",H402-E402)</f>
        <v/>
      </c>
      <c r="L402" s="4">
        <f>IF(OR(F402="",I402=""),"",I402-F402)</f>
        <v/>
      </c>
      <c r="M402" s="3" t="n">
        <v>5.19</v>
      </c>
      <c r="N402" s="3" t="n">
        <v>9.529999999999999</v>
      </c>
      <c r="O402" s="3" t="n">
        <v>4.34</v>
      </c>
      <c r="P402" s="3" t="n">
        <v>64.78</v>
      </c>
      <c r="Q402" s="3" t="n">
        <v>915</v>
      </c>
      <c r="R402" s="3" t="n">
        <v>12</v>
      </c>
      <c r="S402" s="3">
        <f>IF(OR(Q402="",R402="",Q402=0),"",R402/Q402*100)</f>
        <v/>
      </c>
    </row>
    <row r="403" ht="16" customHeight="1">
      <c r="A403" s="2" t="inlineStr">
        <is>
          <t>6643</t>
        </is>
      </c>
      <c r="B403" s="2" t="inlineStr">
        <is>
          <t>M31</t>
        </is>
      </c>
      <c r="C403" s="2" t="inlineStr">
        <is>
          <t>半導體業</t>
        </is>
      </c>
      <c r="D403" s="3" t="n">
        <v>100</v>
      </c>
      <c r="E403" s="3" t="n">
        <v>-16.79</v>
      </c>
      <c r="F403" s="3" t="n">
        <v>-12.48</v>
      </c>
      <c r="G403" s="3" t="n">
        <v>100</v>
      </c>
      <c r="H403" s="3" t="n">
        <v>-4</v>
      </c>
      <c r="I403" s="3" t="n">
        <v>-0.66</v>
      </c>
      <c r="J403" s="4">
        <f>IF(OR(D403="",G403=""),"",G403-D403)</f>
        <v/>
      </c>
      <c r="K403" s="4">
        <f>IF(OR(E403="",H403=""),"",H403-E403)</f>
        <v/>
      </c>
      <c r="L403" s="4">
        <f>IF(OR(F403="",I403=""),"",I403-F403)</f>
        <v/>
      </c>
      <c r="M403" s="3" t="n">
        <v>-1.18</v>
      </c>
      <c r="N403" s="3" t="n">
        <v>-1.25</v>
      </c>
      <c r="O403" s="3" t="n">
        <v>-0.07000000000000001</v>
      </c>
      <c r="P403" s="3" t="n">
        <v>463.16</v>
      </c>
      <c r="Q403" s="3" t="n">
        <v>420</v>
      </c>
      <c r="R403" s="3" t="n">
        <v>1.19</v>
      </c>
      <c r="S403" s="3">
        <f>IF(OR(Q403="",R403="",Q403=0),"",R403/Q403*100)</f>
        <v/>
      </c>
    </row>
    <row r="404" ht="16" customHeight="1">
      <c r="A404" s="2" t="inlineStr">
        <is>
          <t>6664</t>
        </is>
      </c>
      <c r="B404" s="2" t="inlineStr">
        <is>
          <t>群翊</t>
        </is>
      </c>
      <c r="C404" s="2" t="inlineStr">
        <is>
          <t>電子零組件業</t>
        </is>
      </c>
      <c r="D404" s="3" t="n">
        <v>48.23</v>
      </c>
      <c r="E404" s="3" t="n">
        <v>32.57</v>
      </c>
      <c r="F404" s="3" t="n">
        <v>33.95</v>
      </c>
      <c r="G404" s="3" t="n">
        <v>49.28</v>
      </c>
      <c r="H404" s="3" t="n">
        <v>35.38</v>
      </c>
      <c r="I404" s="3" t="n">
        <v>30.51</v>
      </c>
      <c r="J404" s="4">
        <f>IF(OR(D404="",G404=""),"",G404-D404)</f>
        <v/>
      </c>
      <c r="K404" s="4">
        <f>IF(OR(E404="",H404=""),"",H404-E404)</f>
        <v/>
      </c>
      <c r="L404" s="4">
        <f>IF(OR(F404="",I404=""),"",I404-F404)</f>
        <v/>
      </c>
      <c r="M404" s="3" t="n">
        <v>3.73</v>
      </c>
      <c r="N404" s="3" t="n">
        <v>7.31</v>
      </c>
      <c r="O404" s="3" t="n">
        <v>3.58</v>
      </c>
      <c r="P404" s="3" t="n">
        <v>20.96</v>
      </c>
      <c r="Q404" s="3" t="n">
        <v>315</v>
      </c>
      <c r="R404" s="3" t="n">
        <v>10.14</v>
      </c>
      <c r="S404" s="3">
        <f>IF(OR(Q404="",R404="",Q404=0),"",R404/Q404*100)</f>
        <v/>
      </c>
    </row>
    <row r="405" ht="16" customHeight="1">
      <c r="A405" s="2" t="inlineStr">
        <is>
          <t>6669</t>
        </is>
      </c>
      <c r="B405" s="2" t="inlineStr">
        <is>
          <t>緯穎</t>
        </is>
      </c>
      <c r="C405" s="2" t="inlineStr">
        <is>
          <t>電子工業</t>
        </is>
      </c>
      <c r="D405" s="3" t="n">
        <v>7.55</v>
      </c>
      <c r="E405" s="3" t="n">
        <v>6.31</v>
      </c>
      <c r="F405" s="3" t="n">
        <v>5.1</v>
      </c>
      <c r="G405" s="3" t="n">
        <v>9.26</v>
      </c>
      <c r="H405" s="3" t="n">
        <v>7.27</v>
      </c>
      <c r="I405" s="3" t="n">
        <v>5.38</v>
      </c>
      <c r="J405" s="4">
        <f>IF(OR(D405="",G405=""),"",G405-D405)</f>
        <v/>
      </c>
      <c r="K405" s="4">
        <f>IF(OR(E405="",H405=""),"",H405-E405)</f>
        <v/>
      </c>
      <c r="L405" s="4">
        <f>IF(OR(F405="",I405=""),"",I405-F405)</f>
        <v/>
      </c>
      <c r="M405" s="3" t="n">
        <v>75.95</v>
      </c>
      <c r="N405" s="3" t="n"/>
      <c r="O405" s="3" t="n"/>
      <c r="P405" s="3" t="n">
        <v>20.63</v>
      </c>
      <c r="Q405" s="3" t="n">
        <v>1810</v>
      </c>
      <c r="R405" s="3" t="n">
        <v>144.39</v>
      </c>
      <c r="S405" s="3">
        <f>IF(OR(Q405="",R405="",Q405=0),"",R405/Q405*100)</f>
        <v/>
      </c>
    </row>
    <row r="406" ht="16" customHeight="1">
      <c r="A406" s="2" t="inlineStr">
        <is>
          <t>6670</t>
        </is>
      </c>
      <c r="B406" s="2" t="inlineStr">
        <is>
          <t>復盛應用</t>
        </is>
      </c>
      <c r="C406" s="2" t="inlineStr">
        <is>
          <t>運動休閒</t>
        </is>
      </c>
      <c r="D406" s="3" t="n">
        <v>24</v>
      </c>
      <c r="E406" s="3" t="n">
        <v>14.94</v>
      </c>
      <c r="F406" s="3" t="n">
        <v>12.21</v>
      </c>
      <c r="G406" s="3" t="n"/>
      <c r="H406" s="3" t="n"/>
      <c r="I406" s="3" t="n"/>
      <c r="J406" s="4">
        <f>IF(OR(D406="",G406=""),"",G406-D406)</f>
        <v/>
      </c>
      <c r="K406" s="4">
        <f>IF(OR(E406="",H406=""),"",H406-E406)</f>
        <v/>
      </c>
      <c r="L406" s="4">
        <f>IF(OR(F406="",I406=""),"",I406-F406)</f>
        <v/>
      </c>
      <c r="M406" s="3" t="n">
        <v>6.96</v>
      </c>
      <c r="N406" s="3" t="n"/>
      <c r="O406" s="3" t="n"/>
      <c r="P406" s="3" t="n">
        <v>10.85</v>
      </c>
      <c r="Q406" s="3" t="n">
        <v>260.5</v>
      </c>
      <c r="R406" s="3" t="n">
        <v>16</v>
      </c>
      <c r="S406" s="3">
        <f>IF(OR(Q406="",R406="",Q406=0),"",R406/Q406*100)</f>
        <v/>
      </c>
    </row>
    <row r="407" ht="16" customHeight="1">
      <c r="A407" s="2" t="inlineStr">
        <is>
          <t>6672</t>
        </is>
      </c>
      <c r="B407" s="2" t="inlineStr">
        <is>
          <t>騰輝電子-KY</t>
        </is>
      </c>
      <c r="C407" s="2" t="inlineStr">
        <is>
          <t>電子零組件</t>
        </is>
      </c>
      <c r="D407" s="3" t="n">
        <v>34.02</v>
      </c>
      <c r="E407" s="3" t="n">
        <v>11.67</v>
      </c>
      <c r="F407" s="3" t="n">
        <v>9.92</v>
      </c>
      <c r="G407" s="3" t="n">
        <v>35.98</v>
      </c>
      <c r="H407" s="3" t="n">
        <v>16.78</v>
      </c>
      <c r="I407" s="3" t="n">
        <v>14.49</v>
      </c>
      <c r="J407" s="4">
        <f>IF(OR(D407="",G407=""),"",G407-D407)</f>
        <v/>
      </c>
      <c r="K407" s="4">
        <f>IF(OR(E407="",H407=""),"",H407-E407)</f>
        <v/>
      </c>
      <c r="L407" s="4">
        <f>IF(OR(F407="",I407=""),"",I407-F407)</f>
        <v/>
      </c>
      <c r="M407" s="3" t="n">
        <v>1.73</v>
      </c>
      <c r="N407" s="3" t="n">
        <v>4.69</v>
      </c>
      <c r="O407" s="3" t="n">
        <v>2.96</v>
      </c>
      <c r="P407" s="3" t="n">
        <v>40.41</v>
      </c>
      <c r="Q407" s="3" t="n">
        <v>526</v>
      </c>
      <c r="R407" s="3" t="n">
        <v>3.35</v>
      </c>
      <c r="S407" s="3">
        <f>IF(OR(Q407="",R407="",Q407=0),"",R407/Q407*100)</f>
        <v/>
      </c>
    </row>
    <row r="408" ht="16" customHeight="1">
      <c r="A408" s="2" t="inlineStr">
        <is>
          <t>6683</t>
        </is>
      </c>
      <c r="B408" s="2" t="inlineStr">
        <is>
          <t>雍智科技</t>
        </is>
      </c>
      <c r="C408" s="2" t="inlineStr">
        <is>
          <t>半導體業</t>
        </is>
      </c>
      <c r="D408" s="3" t="n">
        <v>48.8</v>
      </c>
      <c r="E408" s="3" t="n">
        <v>27.25</v>
      </c>
      <c r="F408" s="3" t="n">
        <v>25.5</v>
      </c>
      <c r="G408" s="3" t="n">
        <v>50.84</v>
      </c>
      <c r="H408" s="3" t="n">
        <v>30.44</v>
      </c>
      <c r="I408" s="3" t="n">
        <v>25.13</v>
      </c>
      <c r="J408" s="4">
        <f>IF(OR(D408="",G408=""),"",G408-D408)</f>
        <v/>
      </c>
      <c r="K408" s="4">
        <f>IF(OR(E408="",H408=""),"",H408-E408)</f>
        <v/>
      </c>
      <c r="L408" s="4">
        <f>IF(OR(F408="",I408=""),"",I408-F408)</f>
        <v/>
      </c>
      <c r="M408" s="3" t="n">
        <v>6.23</v>
      </c>
      <c r="N408" s="3" t="n">
        <v>12.25</v>
      </c>
      <c r="O408" s="3" t="n">
        <v>6.02</v>
      </c>
      <c r="P408" s="3" t="n">
        <v>61.16</v>
      </c>
      <c r="Q408" s="3" t="n">
        <v>1070</v>
      </c>
      <c r="R408" s="3" t="n">
        <v>9</v>
      </c>
      <c r="S408" s="3">
        <f>IF(OR(Q408="",R408="",Q408=0),"",R408/Q408*100)</f>
        <v/>
      </c>
    </row>
    <row r="409" ht="16" customHeight="1">
      <c r="A409" s="2" t="inlineStr">
        <is>
          <t>6691</t>
        </is>
      </c>
      <c r="B409" s="2" t="inlineStr">
        <is>
          <t>洋基工程</t>
        </is>
      </c>
      <c r="C409" s="2" t="inlineStr">
        <is>
          <t>其他電子業</t>
        </is>
      </c>
      <c r="D409" s="3" t="n">
        <v>18.39</v>
      </c>
      <c r="E409" s="3" t="n">
        <v>15.74</v>
      </c>
      <c r="F409" s="3" t="n">
        <v>12.43</v>
      </c>
      <c r="G409" s="3" t="n">
        <v>18.15</v>
      </c>
      <c r="H409" s="3" t="n">
        <v>16.53</v>
      </c>
      <c r="I409" s="3" t="n">
        <v>13.02</v>
      </c>
      <c r="J409" s="4">
        <f>IF(OR(D409="",G409=""),"",G409-D409)</f>
        <v/>
      </c>
      <c r="K409" s="4">
        <f>IF(OR(E409="",H409=""),"",H409-E409)</f>
        <v/>
      </c>
      <c r="L409" s="4">
        <f>IF(OR(F409="",I409=""),"",I409-F409)</f>
        <v/>
      </c>
      <c r="M409" s="3" t="n">
        <v>7.19</v>
      </c>
      <c r="N409" s="3" t="n">
        <v>19.21</v>
      </c>
      <c r="O409" s="3" t="n">
        <v>12.02</v>
      </c>
      <c r="P409" s="3" t="n">
        <v>21.78</v>
      </c>
      <c r="Q409" s="3" t="n">
        <v>637</v>
      </c>
      <c r="R409" s="3" t="n">
        <v>21</v>
      </c>
      <c r="S409" s="3">
        <f>IF(OR(Q409="",R409="",Q409=0),"",R409/Q409*100)</f>
        <v/>
      </c>
    </row>
    <row r="410" ht="16" customHeight="1">
      <c r="A410" s="2" t="inlineStr">
        <is>
          <t>6712</t>
        </is>
      </c>
      <c r="B410" s="2" t="inlineStr">
        <is>
          <t>長聖</t>
        </is>
      </c>
      <c r="C410" s="2" t="inlineStr">
        <is>
          <t>生技醫療業</t>
        </is>
      </c>
      <c r="D410" s="3" t="n">
        <v>80.23999999999999</v>
      </c>
      <c r="E410" s="3" t="n">
        <v>46.6</v>
      </c>
      <c r="F410" s="3" t="n">
        <v>69.38</v>
      </c>
      <c r="G410" s="3" t="n">
        <v>76.91</v>
      </c>
      <c r="H410" s="3" t="n">
        <v>44.18</v>
      </c>
      <c r="I410" s="3" t="n">
        <v>33.1</v>
      </c>
      <c r="J410" s="4">
        <f>IF(OR(D410="",G410=""),"",G410-D410)</f>
        <v/>
      </c>
      <c r="K410" s="4">
        <f>IF(OR(E410="",H410=""),"",H410-E410)</f>
        <v/>
      </c>
      <c r="L410" s="4">
        <f>IF(OR(F410="",I410=""),"",I410-F410)</f>
        <v/>
      </c>
      <c r="M410" s="3" t="n">
        <v>1.39</v>
      </c>
      <c r="N410" s="3" t="n">
        <v>2.34</v>
      </c>
      <c r="O410" s="3" t="n">
        <v>0.95</v>
      </c>
      <c r="P410" s="3" t="n">
        <v>31.61</v>
      </c>
      <c r="Q410" s="3" t="n">
        <v>150.5</v>
      </c>
      <c r="R410" s="3" t="n">
        <v>3.5</v>
      </c>
      <c r="S410" s="3">
        <f>IF(OR(Q410="",R410="",Q410=0),"",R410/Q410*100)</f>
        <v/>
      </c>
    </row>
    <row r="411" ht="16" customHeight="1">
      <c r="A411" s="2" t="inlineStr">
        <is>
          <t>6715</t>
        </is>
      </c>
      <c r="B411" s="2" t="inlineStr">
        <is>
          <t>嘉基</t>
        </is>
      </c>
      <c r="C411" s="2" t="inlineStr">
        <is>
          <t>電子零組件</t>
        </is>
      </c>
      <c r="D411" s="3" t="n">
        <v>35.31</v>
      </c>
      <c r="E411" s="3" t="n">
        <v>9.31</v>
      </c>
      <c r="F411" s="3" t="n">
        <v>9.94</v>
      </c>
      <c r="G411" s="3" t="n">
        <v>23.25</v>
      </c>
      <c r="H411" s="3" t="n">
        <v>-4.56</v>
      </c>
      <c r="I411" s="3" t="n">
        <v>-3.84</v>
      </c>
      <c r="J411" s="4">
        <f>IF(OR(D411="",G411=""),"",G411-D411)</f>
        <v/>
      </c>
      <c r="K411" s="4">
        <f>IF(OR(E411="",H411=""),"",H411-E411)</f>
        <v/>
      </c>
      <c r="L411" s="4">
        <f>IF(OR(F411="",I411=""),"",I411-F411)</f>
        <v/>
      </c>
      <c r="M411" s="3" t="n">
        <v>1.02</v>
      </c>
      <c r="N411" s="3" t="n">
        <v>0.9</v>
      </c>
      <c r="O411" s="3" t="n">
        <v>-0.12</v>
      </c>
      <c r="P411" s="3" t="n">
        <v>294.74</v>
      </c>
      <c r="Q411" s="3" t="n">
        <v>462</v>
      </c>
      <c r="R411" s="3" t="n">
        <v>1.9431</v>
      </c>
      <c r="S411" s="3">
        <f>IF(OR(Q411="",R411="",Q411=0),"",R411/Q411*100)</f>
        <v/>
      </c>
    </row>
    <row r="412" ht="16" customHeight="1">
      <c r="A412" s="2" t="inlineStr">
        <is>
          <t>6719</t>
        </is>
      </c>
      <c r="B412" s="2" t="inlineStr">
        <is>
          <t>力智</t>
        </is>
      </c>
      <c r="C412" s="2" t="inlineStr">
        <is>
          <t>電子工業</t>
        </is>
      </c>
      <c r="D412" s="3" t="n">
        <v>41.67</v>
      </c>
      <c r="E412" s="3" t="n">
        <v>18.44</v>
      </c>
      <c r="F412" s="3" t="n">
        <v>22.58</v>
      </c>
      <c r="G412" s="3" t="n">
        <v>38.82</v>
      </c>
      <c r="H412" s="3" t="n">
        <v>17.34</v>
      </c>
      <c r="I412" s="3" t="n">
        <v>19.78</v>
      </c>
      <c r="J412" s="4">
        <f>IF(OR(D412="",G412=""),"",G412-D412)</f>
        <v/>
      </c>
      <c r="K412" s="4">
        <f>IF(OR(E412="",H412=""),"",H412-E412)</f>
        <v/>
      </c>
      <c r="L412" s="4">
        <f>IF(OR(F412="",I412=""),"",I412-F412)</f>
        <v/>
      </c>
      <c r="M412" s="3" t="n">
        <v>2.1</v>
      </c>
      <c r="N412" s="3" t="n">
        <v>4.2</v>
      </c>
      <c r="O412" s="3" t="n">
        <v>2.1</v>
      </c>
      <c r="P412" s="3" t="n">
        <v>21.79</v>
      </c>
      <c r="Q412" s="3" t="n">
        <v>184</v>
      </c>
      <c r="R412" s="3" t="n">
        <v>4.6</v>
      </c>
      <c r="S412" s="3">
        <f>IF(OR(Q412="",R412="",Q412=0),"",R412/Q412*100)</f>
        <v/>
      </c>
    </row>
    <row r="413" ht="16" customHeight="1">
      <c r="A413" s="2" t="inlineStr">
        <is>
          <t>6739</t>
        </is>
      </c>
      <c r="B413" s="2" t="inlineStr">
        <is>
          <t>竹陞科技</t>
        </is>
      </c>
      <c r="C413" s="2" t="inlineStr">
        <is>
          <t>其他電子業</t>
        </is>
      </c>
      <c r="D413" s="3" t="n">
        <v>68.38</v>
      </c>
      <c r="E413" s="3" t="n">
        <v>58.94</v>
      </c>
      <c r="F413" s="3" t="n">
        <v>47.32</v>
      </c>
      <c r="G413" s="3" t="n">
        <v>66.81999999999999</v>
      </c>
      <c r="H413" s="3" t="n">
        <v>58.28</v>
      </c>
      <c r="I413" s="3" t="n">
        <v>48.93</v>
      </c>
      <c r="J413" s="4">
        <f>IF(OR(D413="",G413=""),"",G413-D413)</f>
        <v/>
      </c>
      <c r="K413" s="4">
        <f>IF(OR(E413="",H413=""),"",H413-E413)</f>
        <v/>
      </c>
      <c r="L413" s="4">
        <f>IF(OR(F413="",I413=""),"",I413-F413)</f>
        <v/>
      </c>
      <c r="M413" s="3" t="n">
        <v>5.76</v>
      </c>
      <c r="N413" s="3" t="n">
        <v>13.3</v>
      </c>
      <c r="O413" s="3" t="n">
        <v>7.54</v>
      </c>
      <c r="P413" s="3" t="n">
        <v>42.78</v>
      </c>
      <c r="Q413" s="3" t="n">
        <v>836</v>
      </c>
      <c r="R413" s="3" t="n">
        <v>13</v>
      </c>
      <c r="S413" s="3">
        <f>IF(OR(Q413="",R413="",Q413=0),"",R413/Q413*100)</f>
        <v/>
      </c>
    </row>
    <row r="414" ht="16" customHeight="1">
      <c r="A414" s="2" t="inlineStr">
        <is>
          <t>6753</t>
        </is>
      </c>
      <c r="B414" s="2" t="inlineStr">
        <is>
          <t>龍德造船</t>
        </is>
      </c>
      <c r="C414" s="2" t="inlineStr">
        <is>
          <t>航運業</t>
        </is>
      </c>
      <c r="D414" s="3" t="n">
        <v>33.1</v>
      </c>
      <c r="E414" s="3" t="n">
        <v>28.98</v>
      </c>
      <c r="F414" s="3" t="n">
        <v>23.94</v>
      </c>
      <c r="G414" s="3" t="n">
        <v>44.47</v>
      </c>
      <c r="H414" s="3" t="n">
        <v>38.73</v>
      </c>
      <c r="I414" s="3" t="n">
        <v>29.56</v>
      </c>
      <c r="J414" s="4">
        <f>IF(OR(D414="",G414=""),"",G414-D414)</f>
        <v/>
      </c>
      <c r="K414" s="4">
        <f>IF(OR(E414="",H414=""),"",H414-E414)</f>
        <v/>
      </c>
      <c r="L414" s="4">
        <f>IF(OR(F414="",I414=""),"",I414-F414)</f>
        <v/>
      </c>
      <c r="M414" s="3" t="n">
        <v>2.7</v>
      </c>
      <c r="N414" s="3" t="n">
        <v>6.54</v>
      </c>
      <c r="O414" s="3" t="n">
        <v>3.84</v>
      </c>
      <c r="P414" s="3" t="n">
        <v>13.5</v>
      </c>
      <c r="Q414" s="3" t="n">
        <v>119</v>
      </c>
      <c r="R414" s="3" t="n">
        <v>1.25</v>
      </c>
      <c r="S414" s="3">
        <f>IF(OR(Q414="",R414="",Q414=0),"",R414/Q414*100)</f>
        <v/>
      </c>
    </row>
    <row r="415" ht="16" customHeight="1">
      <c r="A415" s="2" t="inlineStr">
        <is>
          <t>6757</t>
        </is>
      </c>
      <c r="B415" s="2" t="inlineStr">
        <is>
          <t>台灣虎航</t>
        </is>
      </c>
      <c r="C415" s="2" t="inlineStr">
        <is>
          <t>航運</t>
        </is>
      </c>
      <c r="D415" s="3" t="n">
        <v>40.68</v>
      </c>
      <c r="E415" s="3" t="n">
        <v>30.51</v>
      </c>
      <c r="F415" s="3" t="n">
        <v>24.11</v>
      </c>
      <c r="G415" s="3" t="n"/>
      <c r="H415" s="3" t="n"/>
      <c r="I415" s="3" t="n">
        <v>2.91</v>
      </c>
      <c r="J415" s="4">
        <f>IF(OR(D415="",G415=""),"",G415-D415)</f>
        <v/>
      </c>
      <c r="K415" s="4">
        <f>IF(OR(E415="",H415=""),"",H415-E415)</f>
        <v/>
      </c>
      <c r="L415" s="4">
        <f>IF(OR(F415="",I415=""),"",I415-F415)</f>
        <v/>
      </c>
      <c r="M415" s="3" t="n">
        <v>3.66</v>
      </c>
      <c r="N415" s="3" t="n">
        <v>0.75</v>
      </c>
      <c r="O415" s="3" t="n">
        <v>9.69</v>
      </c>
      <c r="P415" s="3" t="n"/>
      <c r="Q415" s="3" t="n">
        <v>51.6</v>
      </c>
      <c r="R415" s="3" t="n"/>
      <c r="S415" s="3">
        <f>IF(OR(Q415="",R415="",Q415=0),"",R415/Q415*100)</f>
        <v/>
      </c>
    </row>
    <row r="416" ht="16" customHeight="1">
      <c r="A416" s="2" t="inlineStr">
        <is>
          <t>6768</t>
        </is>
      </c>
      <c r="B416" s="2" t="inlineStr">
        <is>
          <t>志強-KY</t>
        </is>
      </c>
      <c r="C416" s="2" t="inlineStr">
        <is>
          <t>其他</t>
        </is>
      </c>
      <c r="D416" s="3" t="n">
        <v>16.54</v>
      </c>
      <c r="E416" s="3" t="n">
        <v>6.14</v>
      </c>
      <c r="F416" s="3" t="n">
        <v>4.49</v>
      </c>
      <c r="G416" s="3" t="n">
        <v>17.01</v>
      </c>
      <c r="H416" s="3" t="n">
        <v>5.72</v>
      </c>
      <c r="I416" s="3" t="n">
        <v>5.41</v>
      </c>
      <c r="J416" s="4">
        <f>IF(OR(D416="",G416=""),"",G416-D416)</f>
        <v/>
      </c>
      <c r="K416" s="4">
        <f>IF(OR(E416="",H416=""),"",H416-E416)</f>
        <v/>
      </c>
      <c r="L416" s="4">
        <f>IF(OR(F416="",I416=""),"",I416-F416)</f>
        <v/>
      </c>
      <c r="M416" s="3" t="n">
        <v>1.2</v>
      </c>
      <c r="N416" s="3" t="n">
        <v>2.67</v>
      </c>
      <c r="O416" s="3" t="n">
        <v>1.47</v>
      </c>
      <c r="P416" s="3" t="n">
        <v>13.07</v>
      </c>
      <c r="Q416" s="3" t="n">
        <v>62.6</v>
      </c>
      <c r="R416" s="3" t="n">
        <v>5.16</v>
      </c>
      <c r="S416" s="3">
        <f>IF(OR(Q416="",R416="",Q416=0),"",R416/Q416*100)</f>
        <v/>
      </c>
    </row>
    <row r="417" ht="16" customHeight="1">
      <c r="A417" s="2" t="inlineStr">
        <is>
          <t>6770</t>
        </is>
      </c>
      <c r="B417" s="2" t="inlineStr">
        <is>
          <t>力積電</t>
        </is>
      </c>
      <c r="C417" s="2" t="inlineStr">
        <is>
          <t>半導體業</t>
        </is>
      </c>
      <c r="D417" s="3" t="n">
        <v>10.23</v>
      </c>
      <c r="E417" s="3" t="n">
        <v>104.82</v>
      </c>
      <c r="F417" s="3" t="n">
        <v>104.85</v>
      </c>
      <c r="G417" s="3" t="n">
        <v>28.28</v>
      </c>
      <c r="H417" s="3" t="n">
        <v>21.31</v>
      </c>
      <c r="I417" s="3" t="n">
        <v>19.03</v>
      </c>
      <c r="J417" s="4">
        <f>IF(OR(D417="",G417=""),"",G417-D417)</f>
        <v/>
      </c>
      <c r="K417" s="4">
        <f>IF(OR(E417="",H417=""),"",H417-E417)</f>
        <v/>
      </c>
      <c r="L417" s="4">
        <f>IF(OR(F417="",I417=""),"",I417-F417)</f>
        <v/>
      </c>
      <c r="M417" s="3" t="n">
        <v>3.36</v>
      </c>
      <c r="N417" s="3" t="n">
        <v>4.14</v>
      </c>
      <c r="O417" s="3" t="n">
        <v>0.78</v>
      </c>
      <c r="P417" s="3" t="n">
        <v>26.13</v>
      </c>
      <c r="Q417" s="3" t="n">
        <v>66.59999999999999</v>
      </c>
      <c r="R417" s="3" t="n">
        <v>0.23</v>
      </c>
      <c r="S417" s="3">
        <f>IF(OR(Q417="",R417="",Q417=0),"",R417/Q417*100)</f>
        <v/>
      </c>
    </row>
    <row r="418" ht="16" customHeight="1">
      <c r="A418" s="2" t="inlineStr">
        <is>
          <t>6781</t>
        </is>
      </c>
      <c r="B418" s="2" t="inlineStr">
        <is>
          <t>AES-KY</t>
        </is>
      </c>
      <c r="C418" s="2" t="inlineStr">
        <is>
          <t>電子零組件業</t>
        </is>
      </c>
      <c r="D418" s="3" t="n">
        <v>36.1</v>
      </c>
      <c r="E418" s="3" t="n">
        <v>24.16</v>
      </c>
      <c r="F418" s="3" t="n">
        <v>20.06</v>
      </c>
      <c r="G418" s="3" t="n"/>
      <c r="H418" s="3" t="n"/>
      <c r="I418" s="3" t="n"/>
      <c r="J418" s="4">
        <f>IF(OR(D418="",G418=""),"",G418-D418)</f>
        <v/>
      </c>
      <c r="K418" s="4">
        <f>IF(OR(E418="",H418=""),"",H418-E418)</f>
        <v/>
      </c>
      <c r="L418" s="4">
        <f>IF(OR(F418="",I418=""),"",I418-F418)</f>
        <v/>
      </c>
      <c r="M418" s="3" t="n">
        <v>10.64</v>
      </c>
      <c r="N418" s="3" t="n"/>
      <c r="O418" s="3" t="n"/>
      <c r="P418" s="3" t="n">
        <v>28.62</v>
      </c>
      <c r="Q418" s="3" t="n">
        <v>880</v>
      </c>
      <c r="R418" s="3" t="n">
        <v>19.1</v>
      </c>
      <c r="S418" s="3">
        <f>IF(OR(Q418="",R418="",Q418=0),"",R418/Q418*100)</f>
        <v/>
      </c>
    </row>
    <row r="419" ht="16" customHeight="1">
      <c r="A419" s="2" t="inlineStr">
        <is>
          <t>6789</t>
        </is>
      </c>
      <c r="B419" s="2" t="inlineStr">
        <is>
          <t>采鈺</t>
        </is>
      </c>
      <c r="C419" s="2" t="inlineStr">
        <is>
          <t>半導體業</t>
        </is>
      </c>
      <c r="D419" s="3" t="n">
        <v>32.24</v>
      </c>
      <c r="E419" s="3" t="n">
        <v>22.83</v>
      </c>
      <c r="F419" s="3" t="n">
        <v>20.26</v>
      </c>
      <c r="G419" s="3" t="n">
        <v>30.53</v>
      </c>
      <c r="H419" s="3" t="n">
        <v>19.32</v>
      </c>
      <c r="I419" s="3" t="n">
        <v>18.85</v>
      </c>
      <c r="J419" s="4">
        <f>IF(OR(D419="",G419=""),"",G419-D419)</f>
        <v/>
      </c>
      <c r="K419" s="4">
        <f>IF(OR(E419="",H419=""),"",H419-E419)</f>
        <v/>
      </c>
      <c r="L419" s="4">
        <f>IF(OR(F419="",I419=""),"",I419-F419)</f>
        <v/>
      </c>
      <c r="M419" s="3" t="n">
        <v>1.5</v>
      </c>
      <c r="N419" s="3" t="n">
        <v>2.95</v>
      </c>
      <c r="O419" s="3" t="n">
        <v>1.45</v>
      </c>
      <c r="P419" s="3" t="n">
        <v>84.45</v>
      </c>
      <c r="Q419" s="3" t="n">
        <v>411</v>
      </c>
      <c r="R419" s="3" t="n">
        <v>3</v>
      </c>
      <c r="S419" s="3">
        <f>IF(OR(Q419="",R419="",Q419=0),"",R419/Q419*100)</f>
        <v/>
      </c>
    </row>
    <row r="420" ht="16" customHeight="1">
      <c r="A420" s="2" t="inlineStr">
        <is>
          <t>6803</t>
        </is>
      </c>
      <c r="B420" s="2" t="inlineStr">
        <is>
          <t>崑鼎</t>
        </is>
      </c>
      <c r="C420" s="2" t="inlineStr">
        <is>
          <t>其他</t>
        </is>
      </c>
      <c r="D420" s="3" t="n">
        <v>19.82</v>
      </c>
      <c r="E420" s="3" t="n">
        <v>18.61</v>
      </c>
      <c r="F420" s="3" t="n">
        <v>15.56</v>
      </c>
      <c r="G420" s="3" t="n">
        <v>18.74</v>
      </c>
      <c r="H420" s="3" t="n">
        <v>17.09</v>
      </c>
      <c r="I420" s="3" t="n">
        <v>14.43</v>
      </c>
      <c r="J420" s="4">
        <f>IF(OR(D420="",G420=""),"",G420-D420)</f>
        <v/>
      </c>
      <c r="K420" s="4">
        <f>IF(OR(E420="",H420=""),"",H420-E420)</f>
        <v/>
      </c>
      <c r="L420" s="4">
        <f>IF(OR(F420="",I420=""),"",I420-F420)</f>
        <v/>
      </c>
      <c r="M420" s="3" t="n">
        <v>4.54</v>
      </c>
      <c r="N420" s="3" t="n">
        <v>8.960000000000001</v>
      </c>
      <c r="O420" s="3" t="n">
        <v>4.42</v>
      </c>
      <c r="P420" s="3" t="n">
        <v>14.56</v>
      </c>
      <c r="Q420" s="3" t="n">
        <v>260</v>
      </c>
      <c r="R420" s="3" t="n">
        <v>15.78</v>
      </c>
      <c r="S420" s="3">
        <f>IF(OR(Q420="",R420="",Q420=0),"",R420/Q420*100)</f>
        <v/>
      </c>
    </row>
    <row r="421" ht="16" customHeight="1">
      <c r="A421" s="2" t="inlineStr">
        <is>
          <t>6805</t>
        </is>
      </c>
      <c r="B421" s="2" t="inlineStr">
        <is>
          <t>富世達</t>
        </is>
      </c>
      <c r="C421" s="2" t="inlineStr">
        <is>
          <t>電子工業</t>
        </is>
      </c>
      <c r="D421" s="3" t="n">
        <v>32.31</v>
      </c>
      <c r="E421" s="3" t="n">
        <v>26.78</v>
      </c>
      <c r="F421" s="3" t="n">
        <v>21.92</v>
      </c>
      <c r="G421" s="3" t="n">
        <v>34.05</v>
      </c>
      <c r="H421" s="3" t="n">
        <v>27.9</v>
      </c>
      <c r="I421" s="3" t="n">
        <v>22.71</v>
      </c>
      <c r="J421" s="4">
        <f>IF(OR(D421="",G421=""),"",G421-D421)</f>
        <v/>
      </c>
      <c r="K421" s="4">
        <f>IF(OR(E421="",H421=""),"",H421-E421)</f>
        <v/>
      </c>
      <c r="L421" s="4">
        <f>IF(OR(F421="",I421=""),"",I421-F421)</f>
        <v/>
      </c>
      <c r="M421" s="3" t="n">
        <v>13.38</v>
      </c>
      <c r="N421" s="3" t="n">
        <v>25.77</v>
      </c>
      <c r="O421" s="3" t="n">
        <v>12.39</v>
      </c>
      <c r="P421" s="3" t="n">
        <v>38.61</v>
      </c>
      <c r="Q421" s="3" t="n">
        <v>2385</v>
      </c>
      <c r="R421" s="3" t="n">
        <v>10.5</v>
      </c>
      <c r="S421" s="3">
        <f>IF(OR(Q421="",R421="",Q421=0),"",R421/Q421*100)</f>
        <v/>
      </c>
    </row>
    <row r="422" ht="16" customHeight="1">
      <c r="A422" s="2" t="inlineStr">
        <is>
          <t>6830</t>
        </is>
      </c>
      <c r="B422" s="2" t="inlineStr">
        <is>
          <t>汎銓</t>
        </is>
      </c>
      <c r="C422" s="2" t="inlineStr">
        <is>
          <t>其他電子</t>
        </is>
      </c>
      <c r="D422" s="3" t="n">
        <v>21.58</v>
      </c>
      <c r="E422" s="3" t="n">
        <v>-1.53</v>
      </c>
      <c r="F422" s="3" t="n">
        <v>-5.5</v>
      </c>
      <c r="G422" s="3" t="n"/>
      <c r="H422" s="3" t="n"/>
      <c r="I422" s="3" t="n"/>
      <c r="J422" s="4">
        <f>IF(OR(D422="",G422=""),"",G422-D422)</f>
        <v/>
      </c>
      <c r="K422" s="4">
        <f>IF(OR(E422="",H422=""),"",H422-E422)</f>
        <v/>
      </c>
      <c r="L422" s="4">
        <f>IF(OR(F422="",I422=""),"",I422-F422)</f>
        <v/>
      </c>
      <c r="M422" s="3" t="n">
        <v>-0.61</v>
      </c>
      <c r="N422" s="3" t="n"/>
      <c r="O422" s="3" t="n"/>
      <c r="P422" s="3" t="n">
        <v>1</v>
      </c>
      <c r="Q422" s="3" t="n">
        <v>448</v>
      </c>
      <c r="R422" s="3" t="n">
        <v>1</v>
      </c>
      <c r="S422" s="3">
        <f>IF(OR(Q422="",R422="",Q422=0),"",R422/Q422*100)</f>
        <v/>
      </c>
    </row>
    <row r="423" ht="16" customHeight="1">
      <c r="A423" s="2" t="inlineStr">
        <is>
          <t>6831</t>
        </is>
      </c>
      <c r="B423" s="2" t="inlineStr">
        <is>
          <t>邁科</t>
        </is>
      </c>
      <c r="C423" s="2" t="inlineStr">
        <is>
          <t>電腦週邊</t>
        </is>
      </c>
      <c r="D423" s="3" t="n">
        <v>18.2</v>
      </c>
      <c r="E423" s="3" t="n">
        <v>6.55</v>
      </c>
      <c r="F423" s="3" t="n">
        <v>5.22</v>
      </c>
      <c r="G423" s="3" t="n">
        <v>21.46</v>
      </c>
      <c r="H423" s="3" t="n">
        <v>10.74</v>
      </c>
      <c r="I423" s="3" t="n">
        <v>6.46</v>
      </c>
      <c r="J423" s="4">
        <f>IF(OR(D423="",G423=""),"",G423-D423)</f>
        <v/>
      </c>
      <c r="K423" s="4">
        <f>IF(OR(E423="",H423=""),"",H423-E423)</f>
        <v/>
      </c>
      <c r="L423" s="4">
        <f>IF(OR(F423="",I423=""),"",I423-F423)</f>
        <v/>
      </c>
      <c r="M423" s="3" t="n">
        <v>0.66</v>
      </c>
      <c r="N423" s="3" t="n">
        <v>1.66</v>
      </c>
      <c r="O423" s="3" t="n">
        <v>1</v>
      </c>
      <c r="P423" s="3" t="n">
        <v>115.9</v>
      </c>
      <c r="Q423" s="3" t="n">
        <v>366</v>
      </c>
      <c r="R423" s="3" t="n">
        <v>3</v>
      </c>
      <c r="S423" s="3">
        <f>IF(OR(Q423="",R423="",Q423=0),"",R423/Q423*100)</f>
        <v/>
      </c>
    </row>
    <row r="424" ht="16" customHeight="1">
      <c r="A424" s="2" t="inlineStr">
        <is>
          <t>6890</t>
        </is>
      </c>
      <c r="B424" s="2" t="inlineStr">
        <is>
          <t>來億-KY</t>
        </is>
      </c>
      <c r="C424" s="2" t="inlineStr">
        <is>
          <t>運動休閒</t>
        </is>
      </c>
      <c r="D424" s="3" t="n">
        <v>11.65</v>
      </c>
      <c r="E424" s="3" t="n">
        <v>2.55</v>
      </c>
      <c r="F424" s="3" t="n">
        <v>2.37</v>
      </c>
      <c r="G424" s="3" t="n"/>
      <c r="H424" s="3" t="n"/>
      <c r="I424" s="3" t="n"/>
      <c r="J424" s="4">
        <f>IF(OR(D424="",G424=""),"",G424-D424)</f>
        <v/>
      </c>
      <c r="K424" s="4">
        <f>IF(OR(E424="",H424=""),"",H424-E424)</f>
        <v/>
      </c>
      <c r="L424" s="4">
        <f>IF(OR(F424="",I424=""),"",I424-F424)</f>
        <v/>
      </c>
      <c r="M424" s="3" t="n">
        <v>0.75</v>
      </c>
      <c r="N424" s="3" t="n"/>
      <c r="O424" s="3" t="n"/>
      <c r="P424" s="3" t="n">
        <v>16.67</v>
      </c>
      <c r="Q424" s="3" t="n">
        <v>142</v>
      </c>
      <c r="R424" s="3" t="n">
        <v>6.97</v>
      </c>
      <c r="S424" s="3">
        <f>IF(OR(Q424="",R424="",Q424=0),"",R424/Q424*100)</f>
        <v/>
      </c>
    </row>
    <row r="425" ht="16" customHeight="1">
      <c r="A425" s="2" t="inlineStr">
        <is>
          <t>6901</t>
        </is>
      </c>
      <c r="B425" s="2" t="inlineStr">
        <is>
          <t>鑽石投資</t>
        </is>
      </c>
      <c r="C425" s="2" t="inlineStr">
        <is>
          <t>其他</t>
        </is>
      </c>
      <c r="D425" s="3" t="n"/>
      <c r="E425" s="3" t="n"/>
      <c r="F425" s="3" t="n"/>
      <c r="G425" s="3" t="n"/>
      <c r="H425" s="3" t="n"/>
      <c r="I425" s="3" t="n"/>
      <c r="J425" s="4">
        <f>IF(OR(D425="",G425=""),"",G425-D425)</f>
        <v/>
      </c>
      <c r="K425" s="4">
        <f>IF(OR(E425="",H425=""),"",H425-E425)</f>
        <v/>
      </c>
      <c r="L425" s="4">
        <f>IF(OR(F425="",I425=""),"",I425-F425)</f>
        <v/>
      </c>
      <c r="M425" s="3" t="n">
        <v>-0.42</v>
      </c>
      <c r="N425" s="3" t="n">
        <v>3.62</v>
      </c>
      <c r="O425" s="3" t="n">
        <v>4.04</v>
      </c>
      <c r="P425" s="3" t="n"/>
      <c r="Q425" s="3" t="n">
        <v>15.9</v>
      </c>
      <c r="R425" s="3" t="n"/>
      <c r="S425" s="3">
        <f>IF(OR(Q425="",R425="",Q425=0),"",R425/Q425*100)</f>
        <v/>
      </c>
    </row>
    <row r="426" ht="16" customHeight="1">
      <c r="A426" s="2" t="inlineStr">
        <is>
          <t>6903</t>
        </is>
      </c>
      <c r="B426" s="2" t="inlineStr">
        <is>
          <t>巨漢</t>
        </is>
      </c>
      <c r="C426" s="2" t="inlineStr">
        <is>
          <t>其他電子業</t>
        </is>
      </c>
      <c r="D426" s="3" t="n">
        <v>31.43</v>
      </c>
      <c r="E426" s="3" t="n">
        <v>28.31</v>
      </c>
      <c r="F426" s="3" t="n">
        <v>22.98</v>
      </c>
      <c r="G426" s="3" t="n">
        <v>32.87</v>
      </c>
      <c r="H426" s="3" t="n">
        <v>29.32</v>
      </c>
      <c r="I426" s="3" t="n">
        <v>23.5</v>
      </c>
      <c r="J426" s="4">
        <f>IF(OR(D426="",G426=""),"",G426-D426)</f>
        <v/>
      </c>
      <c r="K426" s="4">
        <f>IF(OR(E426="",H426=""),"",H426-E426)</f>
        <v/>
      </c>
      <c r="L426" s="4">
        <f>IF(OR(F426="",I426=""),"",I426-F426)</f>
        <v/>
      </c>
      <c r="M426" s="3" t="n">
        <v>6.72</v>
      </c>
      <c r="N426" s="3" t="n">
        <v>14.14</v>
      </c>
      <c r="O426" s="3" t="n">
        <v>7.42</v>
      </c>
      <c r="P426" s="3" t="n">
        <v>14.41</v>
      </c>
      <c r="Q426" s="3" t="n">
        <v>287.5</v>
      </c>
      <c r="R426" s="3" t="n">
        <v>8.5</v>
      </c>
      <c r="S426" s="3">
        <f>IF(OR(Q426="",R426="",Q426=0),"",R426/Q426*100)</f>
        <v/>
      </c>
    </row>
    <row r="427" ht="16" customHeight="1">
      <c r="A427" s="2" t="inlineStr">
        <is>
          <t>6919</t>
        </is>
      </c>
      <c r="B427" s="2" t="inlineStr">
        <is>
          <t>康霈生技</t>
        </is>
      </c>
      <c r="C427" s="2" t="inlineStr">
        <is>
          <t>生技醫療</t>
        </is>
      </c>
      <c r="D427" s="3" t="n">
        <v>50</v>
      </c>
      <c r="E427" s="3" t="n">
        <v>-12291550</v>
      </c>
      <c r="F427" s="3" t="n">
        <v>-5387700</v>
      </c>
      <c r="G427" s="3" t="n">
        <v>65.26000000000001</v>
      </c>
      <c r="H427" s="3" t="n">
        <v>-7377.59</v>
      </c>
      <c r="I427" s="3" t="n">
        <v>-6239.93</v>
      </c>
      <c r="J427" s="4">
        <f>IF(OR(D427="",G427=""),"",G427-D427)</f>
        <v/>
      </c>
      <c r="K427" s="4">
        <f>IF(OR(E427="",H427=""),"",H427-E427)</f>
        <v/>
      </c>
      <c r="L427" s="4">
        <f>IF(OR(F427="",I427=""),"",I427-F427)</f>
        <v/>
      </c>
      <c r="M427" s="3" t="n">
        <v>-0.07000000000000001</v>
      </c>
      <c r="N427" s="3" t="n">
        <v>-0.21</v>
      </c>
      <c r="O427" s="3" t="n">
        <v>-0.14</v>
      </c>
      <c r="P427" s="3" t="n"/>
      <c r="Q427" s="3" t="n">
        <v>66.59999999999999</v>
      </c>
      <c r="R427" s="3" t="n"/>
      <c r="S427" s="3">
        <f>IF(OR(Q427="",R427="",Q427=0),"",R427/Q427*100)</f>
        <v/>
      </c>
    </row>
    <row r="428" ht="16" customHeight="1">
      <c r="A428" s="2" t="inlineStr">
        <is>
          <t>6937</t>
        </is>
      </c>
      <c r="B428" s="2" t="inlineStr">
        <is>
          <t>天虹</t>
        </is>
      </c>
      <c r="C428" s="2" t="inlineStr">
        <is>
          <t>半導體</t>
        </is>
      </c>
      <c r="D428" s="3" t="n">
        <v>41.77</v>
      </c>
      <c r="E428" s="3" t="n">
        <v>12.97</v>
      </c>
      <c r="F428" s="3" t="n">
        <v>10.6</v>
      </c>
      <c r="G428" s="3" t="n"/>
      <c r="H428" s="3" t="n"/>
      <c r="I428" s="3" t="n"/>
      <c r="J428" s="4">
        <f>IF(OR(D428="",G428=""),"",G428-D428)</f>
        <v/>
      </c>
      <c r="K428" s="4">
        <f>IF(OR(E428="",H428=""),"",H428-E428)</f>
        <v/>
      </c>
      <c r="L428" s="4">
        <f>IF(OR(F428="",I428=""),"",I428-F428)</f>
        <v/>
      </c>
      <c r="M428" s="3" t="n">
        <v>0.96</v>
      </c>
      <c r="N428" s="3" t="n"/>
      <c r="O428" s="3" t="n"/>
      <c r="P428" s="3" t="n">
        <v>57.36</v>
      </c>
      <c r="Q428" s="3" t="n">
        <v>242</v>
      </c>
      <c r="R428" s="3" t="n">
        <v>1.4</v>
      </c>
      <c r="S428" s="3">
        <f>IF(OR(Q428="",R428="",Q428=0),"",R428/Q428*100)</f>
        <v/>
      </c>
    </row>
    <row r="429" ht="16" customHeight="1">
      <c r="A429" s="2" t="inlineStr">
        <is>
          <t>6944</t>
        </is>
      </c>
      <c r="B429" s="2" t="inlineStr">
        <is>
          <t>兆聯實業</t>
        </is>
      </c>
      <c r="C429" s="2" t="inlineStr">
        <is>
          <t>綠能環保</t>
        </is>
      </c>
      <c r="D429" s="3" t="n">
        <v>27.15</v>
      </c>
      <c r="E429" s="3" t="n">
        <v>22.51</v>
      </c>
      <c r="F429" s="3" t="n">
        <v>16.42</v>
      </c>
      <c r="G429" s="3" t="n">
        <v>28.44</v>
      </c>
      <c r="H429" s="3" t="n">
        <v>23.83</v>
      </c>
      <c r="I429" s="3" t="n">
        <v>17.17</v>
      </c>
      <c r="J429" s="4">
        <f>IF(OR(D429="",G429=""),"",G429-D429)</f>
        <v/>
      </c>
      <c r="K429" s="4">
        <f>IF(OR(E429="",H429=""),"",H429-E429)</f>
        <v/>
      </c>
      <c r="L429" s="4">
        <f>IF(OR(F429="",I429=""),"",I429-F429)</f>
        <v/>
      </c>
      <c r="M429" s="3" t="n">
        <v>10.08</v>
      </c>
      <c r="N429" s="3" t="n">
        <v>18.83</v>
      </c>
      <c r="O429" s="3" t="n">
        <v>8.75</v>
      </c>
      <c r="P429" s="3" t="n">
        <v>17.59</v>
      </c>
      <c r="Q429" s="3" t="n">
        <v>749</v>
      </c>
      <c r="R429" s="3" t="n">
        <v>17</v>
      </c>
      <c r="S429" s="3">
        <f>IF(OR(Q429="",R429="",Q429=0),"",R429/Q429*100)</f>
        <v/>
      </c>
    </row>
    <row r="430" ht="16" customHeight="1">
      <c r="A430" s="2" t="inlineStr">
        <is>
          <t>6949</t>
        </is>
      </c>
      <c r="B430" s="2" t="inlineStr">
        <is>
          <t>沛爾生醫</t>
        </is>
      </c>
      <c r="C430" s="2" t="inlineStr">
        <is>
          <t>生技</t>
        </is>
      </c>
      <c r="D430" s="3" t="n"/>
      <c r="E430" s="3" t="n"/>
      <c r="F430" s="3" t="n"/>
      <c r="G430" s="3" t="n"/>
      <c r="H430" s="3" t="n"/>
      <c r="I430" s="3" t="n"/>
      <c r="J430" s="4">
        <f>IF(OR(D430="",G430=""),"",G430-D430)</f>
        <v/>
      </c>
      <c r="K430" s="4">
        <f>IF(OR(E430="",H430=""),"",H430-E430)</f>
        <v/>
      </c>
      <c r="L430" s="4">
        <f>IF(OR(F430="",I430=""),"",I430-F430)</f>
        <v/>
      </c>
      <c r="M430" s="3" t="n">
        <v>-1.18</v>
      </c>
      <c r="N430" s="3" t="n">
        <v>-2.54</v>
      </c>
      <c r="O430" s="3" t="n">
        <v>-1.36</v>
      </c>
      <c r="P430" s="3" t="n"/>
      <c r="Q430" s="3" t="n">
        <v>39.05</v>
      </c>
      <c r="R430" s="3" t="n"/>
      <c r="S430" s="3">
        <f>IF(OR(Q430="",R430="",Q430=0),"",R430/Q430*100)</f>
        <v/>
      </c>
    </row>
    <row r="431" ht="16" customHeight="1">
      <c r="A431" s="2" t="inlineStr">
        <is>
          <t>6962</t>
        </is>
      </c>
      <c r="B431" s="2" t="inlineStr">
        <is>
          <t>奕力-KY</t>
        </is>
      </c>
      <c r="C431" s="2" t="inlineStr">
        <is>
          <t>半導體</t>
        </is>
      </c>
      <c r="D431" s="3" t="n">
        <v>27.33</v>
      </c>
      <c r="E431" s="3" t="n">
        <v>3.76</v>
      </c>
      <c r="F431" s="3" t="n">
        <v>7.13</v>
      </c>
      <c r="G431" s="3" t="n">
        <v>10.14</v>
      </c>
      <c r="H431" s="3" t="n">
        <v>-5.88</v>
      </c>
      <c r="I431" s="3" t="n">
        <v>0.29</v>
      </c>
      <c r="J431" s="4">
        <f>IF(OR(D431="",G431=""),"",G431-D431)</f>
        <v/>
      </c>
      <c r="K431" s="4">
        <f>IF(OR(E431="",H431=""),"",H431-E431)</f>
        <v/>
      </c>
      <c r="L431" s="4">
        <f>IF(OR(F431="",I431=""),"",I431-F431)</f>
        <v/>
      </c>
      <c r="M431" s="3" t="n">
        <v>0.58</v>
      </c>
      <c r="N431" s="3" t="n">
        <v>0.61</v>
      </c>
      <c r="O431" s="3" t="n">
        <v>0.03</v>
      </c>
      <c r="P431" s="3" t="n">
        <v>20.63</v>
      </c>
      <c r="Q431" s="3" t="n">
        <v>30.05</v>
      </c>
      <c r="R431" s="3" t="n">
        <v>1</v>
      </c>
      <c r="S431" s="3">
        <f>IF(OR(Q431="",R431="",Q431=0),"",R431/Q431*100)</f>
        <v/>
      </c>
    </row>
    <row r="432" ht="16" customHeight="1">
      <c r="A432" s="2" t="inlineStr">
        <is>
          <t>7610</t>
        </is>
      </c>
      <c r="B432" s="2" t="inlineStr">
        <is>
          <t>聯友金屬</t>
        </is>
      </c>
      <c r="C432" s="2" t="inlineStr">
        <is>
          <t>創新板股票</t>
        </is>
      </c>
      <c r="D432" s="3" t="n">
        <v>73.88</v>
      </c>
      <c r="E432" s="3" t="n">
        <v>66.61</v>
      </c>
      <c r="F432" s="3" t="n">
        <v>52.45</v>
      </c>
      <c r="G432" s="3" t="n">
        <v>67.73</v>
      </c>
      <c r="H432" s="3" t="n">
        <v>61.47</v>
      </c>
      <c r="I432" s="3" t="n">
        <v>49.13</v>
      </c>
      <c r="J432" s="4">
        <f>IF(OR(D432="",G432=""),"",G432-D432)</f>
        <v/>
      </c>
      <c r="K432" s="4">
        <f>IF(OR(E432="",H432=""),"",H432-E432)</f>
        <v/>
      </c>
      <c r="L432" s="4">
        <f>IF(OR(F432="",I432=""),"",I432-F432)</f>
        <v/>
      </c>
      <c r="M432" s="3" t="n">
        <v>10.87</v>
      </c>
      <c r="N432" s="3" t="n">
        <v>27.19</v>
      </c>
      <c r="O432" s="3" t="n">
        <v>16.32</v>
      </c>
      <c r="P432" s="3" t="n">
        <v>48.36</v>
      </c>
      <c r="Q432" s="3" t="n">
        <v>1290</v>
      </c>
      <c r="R432" s="3" t="n">
        <v>0.5</v>
      </c>
      <c r="S432" s="3">
        <f>IF(OR(Q432="",R432="",Q432=0),"",R432/Q432*100)</f>
        <v/>
      </c>
    </row>
    <row r="433" ht="16" customHeight="1">
      <c r="A433" s="2" t="inlineStr">
        <is>
          <t>7711</t>
        </is>
      </c>
      <c r="B433" s="2" t="inlineStr">
        <is>
          <t>永擎</t>
        </is>
      </c>
      <c r="C433" s="2" t="inlineStr">
        <is>
          <t>電腦週邊</t>
        </is>
      </c>
      <c r="D433" s="3" t="n">
        <v>12.39</v>
      </c>
      <c r="E433" s="3" t="n">
        <v>7.81</v>
      </c>
      <c r="F433" s="3" t="n">
        <v>6.07</v>
      </c>
      <c r="G433" s="3" t="n">
        <v>18.94</v>
      </c>
      <c r="H433" s="3" t="n">
        <v>11.99</v>
      </c>
      <c r="I433" s="3" t="n">
        <v>10.05</v>
      </c>
      <c r="J433" s="4">
        <f>IF(OR(D433="",G433=""),"",G433-D433)</f>
        <v/>
      </c>
      <c r="K433" s="4">
        <f>IF(OR(E433="",H433=""),"",H433-E433)</f>
        <v/>
      </c>
      <c r="L433" s="4">
        <f>IF(OR(F433="",I433=""),"",I433-F433)</f>
        <v/>
      </c>
      <c r="M433" s="3" t="n">
        <v>7.68</v>
      </c>
      <c r="N433" s="3" t="n">
        <v>17.44</v>
      </c>
      <c r="O433" s="3" t="n">
        <v>9.76</v>
      </c>
      <c r="P433" s="3" t="n">
        <v>19.38</v>
      </c>
      <c r="Q433" s="3" t="n">
        <v>548</v>
      </c>
      <c r="R433" s="3" t="n">
        <v>8.9871</v>
      </c>
      <c r="S433" s="3">
        <f>IF(OR(Q433="",R433="",Q433=0),"",R433/Q433*100)</f>
        <v/>
      </c>
    </row>
    <row r="434" ht="16" customHeight="1">
      <c r="A434" s="2" t="inlineStr">
        <is>
          <t>7722</t>
        </is>
      </c>
      <c r="B434" s="2" t="inlineStr">
        <is>
          <t>LINE Pay</t>
        </is>
      </c>
      <c r="C434" s="2" t="inlineStr">
        <is>
          <t>數位雲端</t>
        </is>
      </c>
      <c r="D434" s="3" t="n">
        <v>23.2</v>
      </c>
      <c r="E434" s="3" t="n">
        <v>5.19</v>
      </c>
      <c r="F434" s="3" t="n">
        <v>6.4</v>
      </c>
      <c r="G434" s="3" t="n">
        <v>25.34</v>
      </c>
      <c r="H434" s="3" t="n">
        <v>7.61</v>
      </c>
      <c r="I434" s="3" t="n">
        <v>7.58</v>
      </c>
      <c r="J434" s="4">
        <f>IF(OR(D434="",G434=""),"",G434-D434)</f>
        <v/>
      </c>
      <c r="K434" s="4">
        <f>IF(OR(E434="",H434=""),"",H434-E434)</f>
        <v/>
      </c>
      <c r="L434" s="4">
        <f>IF(OR(F434="",I434=""),"",I434-F434)</f>
        <v/>
      </c>
      <c r="M434" s="3" t="n">
        <v>1.97</v>
      </c>
      <c r="N434" s="3" t="n">
        <v>4.34</v>
      </c>
      <c r="O434" s="3" t="n">
        <v>2.37</v>
      </c>
      <c r="P434" s="3" t="n">
        <v>34.98</v>
      </c>
      <c r="Q434" s="3" t="n">
        <v>239</v>
      </c>
      <c r="R434" s="3" t="n">
        <v>1.5</v>
      </c>
      <c r="S434" s="3">
        <f>IF(OR(Q434="",R434="",Q434=0),"",R434/Q434*100)</f>
        <v/>
      </c>
    </row>
    <row r="435" ht="16" customHeight="1">
      <c r="A435" s="2" t="inlineStr">
        <is>
          <t>7734</t>
        </is>
      </c>
      <c r="B435" s="2" t="inlineStr">
        <is>
          <t>印能科技</t>
        </is>
      </c>
      <c r="C435" s="2" t="inlineStr">
        <is>
          <t>半導體業</t>
        </is>
      </c>
      <c r="D435" s="3" t="n">
        <v>65.25</v>
      </c>
      <c r="E435" s="3" t="n">
        <v>52.99</v>
      </c>
      <c r="F435" s="3" t="n">
        <v>47.37</v>
      </c>
      <c r="G435" s="3" t="n">
        <v>67.31999999999999</v>
      </c>
      <c r="H435" s="3" t="n">
        <v>53.5</v>
      </c>
      <c r="I435" s="3" t="n">
        <v>42.47</v>
      </c>
      <c r="J435" s="4">
        <f>IF(OR(D435="",G435=""),"",G435-D435)</f>
        <v/>
      </c>
      <c r="K435" s="4">
        <f>IF(OR(E435="",H435=""),"",H435-E435)</f>
        <v/>
      </c>
      <c r="L435" s="4">
        <f>IF(OR(F435="",I435=""),"",I435-F435)</f>
        <v/>
      </c>
      <c r="M435" s="3" t="n">
        <v>14.68</v>
      </c>
      <c r="N435" s="3" t="n">
        <v>28.4</v>
      </c>
      <c r="O435" s="3" t="n">
        <v>13.72</v>
      </c>
      <c r="P435" s="3" t="n">
        <v>65.13</v>
      </c>
      <c r="Q435" s="3" t="n">
        <v>2065</v>
      </c>
      <c r="R435" s="3" t="n">
        <v>19.85</v>
      </c>
      <c r="S435" s="3">
        <f>IF(OR(Q435="",R435="",Q435=0),"",R435/Q435*100)</f>
        <v/>
      </c>
    </row>
    <row r="436" ht="16" customHeight="1">
      <c r="A436" s="2" t="inlineStr">
        <is>
          <t>7744</t>
        </is>
      </c>
      <c r="B436" s="2" t="inlineStr">
        <is>
          <t>崴寶</t>
        </is>
      </c>
      <c r="C436" s="2" t="inlineStr">
        <is>
          <t>電子零組件業</t>
        </is>
      </c>
      <c r="D436" s="3" t="n">
        <v>36.13</v>
      </c>
      <c r="E436" s="3" t="n">
        <v>25.2</v>
      </c>
      <c r="F436" s="3" t="n">
        <v>20.46</v>
      </c>
      <c r="G436" s="3" t="n">
        <v>37.84</v>
      </c>
      <c r="H436" s="3" t="n">
        <v>27.84</v>
      </c>
      <c r="I436" s="3" t="n">
        <v>22.49</v>
      </c>
      <c r="J436" s="4">
        <f>IF(OR(D436="",G436=""),"",G436-D436)</f>
        <v/>
      </c>
      <c r="K436" s="4">
        <f>IF(OR(E436="",H436=""),"",H436-E436)</f>
        <v/>
      </c>
      <c r="L436" s="4">
        <f>IF(OR(F436="",I436=""),"",I436-F436)</f>
        <v/>
      </c>
      <c r="M436" s="3" t="n">
        <v>5.66</v>
      </c>
      <c r="N436" s="3" t="n">
        <v>13.46</v>
      </c>
      <c r="O436" s="3" t="n">
        <v>7.8</v>
      </c>
      <c r="P436" s="3" t="n">
        <v>21.64</v>
      </c>
      <c r="Q436" s="3" t="n">
        <v>442</v>
      </c>
      <c r="R436" s="3" t="n">
        <v>7</v>
      </c>
      <c r="S436" s="3">
        <f>IF(OR(Q436="",R436="",Q436=0),"",R436/Q436*100)</f>
        <v/>
      </c>
    </row>
    <row r="437" ht="16" customHeight="1">
      <c r="A437" s="2" t="inlineStr">
        <is>
          <t>7749</t>
        </is>
      </c>
      <c r="B437" s="2" t="inlineStr">
        <is>
          <t>意騰-KY</t>
        </is>
      </c>
      <c r="C437" s="2" t="inlineStr">
        <is>
          <t>半導體</t>
        </is>
      </c>
      <c r="D437" s="3" t="n">
        <v>70.17</v>
      </c>
      <c r="E437" s="3" t="n">
        <v>32</v>
      </c>
      <c r="F437" s="3" t="n">
        <v>31</v>
      </c>
      <c r="G437" s="3" t="n"/>
      <c r="H437" s="3" t="n"/>
      <c r="I437" s="3" t="n"/>
      <c r="J437" s="4">
        <f>IF(OR(D437="",G437=""),"",G437-D437)</f>
        <v/>
      </c>
      <c r="K437" s="4">
        <f>IF(OR(E437="",H437=""),"",H437-E437)</f>
        <v/>
      </c>
      <c r="L437" s="4">
        <f>IF(OR(F437="",I437=""),"",I437-F437)</f>
        <v/>
      </c>
      <c r="M437" s="3" t="n">
        <v>3.56</v>
      </c>
      <c r="N437" s="3" t="n"/>
      <c r="O437" s="3" t="n"/>
      <c r="P437" s="3" t="n">
        <v>30.21</v>
      </c>
      <c r="Q437" s="3" t="n">
        <v>306</v>
      </c>
      <c r="R437" s="3" t="n">
        <v>9</v>
      </c>
      <c r="S437" s="3">
        <f>IF(OR(Q437="",R437="",Q437=0),"",R437/Q437*100)</f>
        <v/>
      </c>
    </row>
    <row r="438" ht="16" customHeight="1">
      <c r="A438" s="2" t="inlineStr">
        <is>
          <t>7750</t>
        </is>
      </c>
      <c r="B438" s="2" t="inlineStr">
        <is>
          <t>新代</t>
        </is>
      </c>
      <c r="C438" s="2" t="inlineStr">
        <is>
          <t>電機機械</t>
        </is>
      </c>
      <c r="D438" s="3" t="n">
        <v>48.77</v>
      </c>
      <c r="E438" s="3" t="n">
        <v>25.78</v>
      </c>
      <c r="F438" s="3" t="n">
        <v>22.08</v>
      </c>
      <c r="G438" s="3" t="n">
        <v>44.09</v>
      </c>
      <c r="H438" s="3" t="n">
        <v>28.93</v>
      </c>
      <c r="I438" s="3" t="n">
        <v>22.95</v>
      </c>
      <c r="J438" s="4">
        <f>IF(OR(D438="",G438=""),"",G438-D438)</f>
        <v/>
      </c>
      <c r="K438" s="4">
        <f>IF(OR(E438="",H438=""),"",H438-E438)</f>
        <v/>
      </c>
      <c r="L438" s="4">
        <f>IF(OR(F438="",I438=""),"",I438-F438)</f>
        <v/>
      </c>
      <c r="M438" s="3" t="n">
        <v>15.38</v>
      </c>
      <c r="N438" s="3" t="n">
        <v>42.52</v>
      </c>
      <c r="O438" s="3" t="n">
        <v>27.14</v>
      </c>
      <c r="P438" s="3" t="n">
        <v>40.48</v>
      </c>
      <c r="Q438" s="3" t="n">
        <v>2035</v>
      </c>
      <c r="R438" s="3" t="n">
        <v>16</v>
      </c>
      <c r="S438" s="3">
        <f>IF(OR(Q438="",R438="",Q438=0),"",R438/Q438*100)</f>
        <v/>
      </c>
    </row>
    <row r="439" ht="16" customHeight="1">
      <c r="A439" s="2" t="inlineStr">
        <is>
          <t>7751</t>
        </is>
      </c>
      <c r="B439" s="2" t="inlineStr">
        <is>
          <t>竑騰</t>
        </is>
      </c>
      <c r="C439" s="2" t="inlineStr">
        <is>
          <t>電子工業</t>
        </is>
      </c>
      <c r="D439" s="3" t="n">
        <v>55.7</v>
      </c>
      <c r="E439" s="3" t="n">
        <v>36.14</v>
      </c>
      <c r="F439" s="3" t="n">
        <v>30.56</v>
      </c>
      <c r="G439" s="3" t="n">
        <v>48.63</v>
      </c>
      <c r="H439" s="3" t="n">
        <v>31.84</v>
      </c>
      <c r="I439" s="3" t="n">
        <v>25.28</v>
      </c>
      <c r="J439" s="4">
        <f>IF(OR(D439="",G439=""),"",G439-D439)</f>
        <v/>
      </c>
      <c r="K439" s="4">
        <f>IF(OR(E439="",H439=""),"",H439-E439)</f>
        <v/>
      </c>
      <c r="L439" s="4">
        <f>IF(OR(F439="",I439=""),"",I439-F439)</f>
        <v/>
      </c>
      <c r="M439" s="3" t="n">
        <v>7</v>
      </c>
      <c r="N439" s="3" t="n">
        <v>13.85</v>
      </c>
      <c r="O439" s="3" t="n">
        <v>6.85</v>
      </c>
      <c r="P439" s="3" t="n">
        <v>56.01</v>
      </c>
      <c r="Q439" s="3" t="n">
        <v>1305</v>
      </c>
      <c r="R439" s="3" t="n">
        <v>10</v>
      </c>
      <c r="S439" s="3">
        <f>IF(OR(Q439="",R439="",Q439=0),"",R439/Q439*100)</f>
        <v/>
      </c>
    </row>
    <row r="440" ht="16" customHeight="1">
      <c r="A440" s="2" t="inlineStr">
        <is>
          <t>7768</t>
        </is>
      </c>
      <c r="B440" s="2" t="inlineStr">
        <is>
          <t>頌勝科技</t>
        </is>
      </c>
      <c r="C440" s="2" t="inlineStr">
        <is>
          <t>電子工業</t>
        </is>
      </c>
      <c r="D440" s="3" t="n">
        <v>55.77</v>
      </c>
      <c r="E440" s="3" t="n">
        <v>20.69</v>
      </c>
      <c r="F440" s="3" t="n">
        <v>18.38</v>
      </c>
      <c r="G440" s="3" t="n">
        <v>52.08</v>
      </c>
      <c r="H440" s="3" t="n">
        <v>16.49</v>
      </c>
      <c r="I440" s="3" t="n">
        <v>20.35</v>
      </c>
      <c r="J440" s="4">
        <f>IF(OR(D440="",G440=""),"",G440-D440)</f>
        <v/>
      </c>
      <c r="K440" s="4">
        <f>IF(OR(E440="",H440=""),"",H440-E440)</f>
        <v/>
      </c>
      <c r="L440" s="4">
        <f>IF(OR(F440="",I440=""),"",I440-F440)</f>
        <v/>
      </c>
      <c r="M440" s="3" t="n">
        <v>1.62</v>
      </c>
      <c r="N440" s="3" t="n">
        <v>3.32</v>
      </c>
      <c r="O440" s="3" t="n">
        <v>1.7</v>
      </c>
      <c r="P440" s="3" t="n">
        <v>66.52</v>
      </c>
      <c r="Q440" s="3" t="n">
        <v>236.5</v>
      </c>
      <c r="R440" s="3" t="n">
        <v>2.46</v>
      </c>
      <c r="S440" s="3">
        <f>IF(OR(Q440="",R440="",Q440=0),"",R440/Q440*100)</f>
        <v/>
      </c>
    </row>
    <row r="441" ht="16" customHeight="1">
      <c r="A441" s="2" t="inlineStr">
        <is>
          <t>7769</t>
        </is>
      </c>
      <c r="B441" s="2" t="inlineStr">
        <is>
          <t>鴻勁</t>
        </is>
      </c>
      <c r="C441" s="2" t="inlineStr">
        <is>
          <t>半導體業</t>
        </is>
      </c>
      <c r="D441" s="3" t="n">
        <v>56.24</v>
      </c>
      <c r="E441" s="3" t="n">
        <v>49.98</v>
      </c>
      <c r="F441" s="3" t="n">
        <v>43.12</v>
      </c>
      <c r="G441" s="3" t="n">
        <v>56.09</v>
      </c>
      <c r="H441" s="3" t="n">
        <v>48.47</v>
      </c>
      <c r="I441" s="3" t="n">
        <v>39.7</v>
      </c>
      <c r="J441" s="4">
        <f>IF(OR(D441="",G441=""),"",G441-D441)</f>
        <v/>
      </c>
      <c r="K441" s="4">
        <f>IF(OR(E441="",H441=""),"",H441-E441)</f>
        <v/>
      </c>
      <c r="L441" s="4">
        <f>IF(OR(F441="",I441=""),"",I441-F441)</f>
        <v/>
      </c>
      <c r="M441" s="3" t="n">
        <v>25.7</v>
      </c>
      <c r="N441" s="3" t="n">
        <v>56.14</v>
      </c>
      <c r="O441" s="3" t="n">
        <v>30.44</v>
      </c>
      <c r="P441" s="3" t="n">
        <v>68.04000000000001</v>
      </c>
      <c r="Q441" s="3" t="n">
        <v>4950</v>
      </c>
      <c r="R441" s="3" t="n">
        <v>54.99</v>
      </c>
      <c r="S441" s="3">
        <f>IF(OR(Q441="",R441="",Q441=0),"",R441/Q441*100)</f>
        <v/>
      </c>
    </row>
    <row r="442" ht="16" customHeight="1">
      <c r="A442" s="2" t="inlineStr">
        <is>
          <t>7780</t>
        </is>
      </c>
      <c r="B442" s="2" t="inlineStr">
        <is>
          <t>大研生醫</t>
        </is>
      </c>
      <c r="C442" s="2" t="inlineStr">
        <is>
          <t>食品</t>
        </is>
      </c>
      <c r="D442" s="3" t="n">
        <v>60.1</v>
      </c>
      <c r="E442" s="3" t="n">
        <v>13.41</v>
      </c>
      <c r="F442" s="3" t="n">
        <v>22.5</v>
      </c>
      <c r="G442" s="3" t="n"/>
      <c r="H442" s="3" t="n"/>
      <c r="I442" s="3" t="n"/>
      <c r="J442" s="4">
        <f>IF(OR(D442="",G442=""),"",G442-D442)</f>
        <v/>
      </c>
      <c r="K442" s="4">
        <f>IF(OR(E442="",H442=""),"",H442-E442)</f>
        <v/>
      </c>
      <c r="L442" s="4">
        <f>IF(OR(F442="",I442=""),"",I442-F442)</f>
        <v/>
      </c>
      <c r="M442" s="3" t="n">
        <v>0.13</v>
      </c>
      <c r="N442" s="3" t="n">
        <v>0.29</v>
      </c>
      <c r="O442" s="3" t="n">
        <v>0.16</v>
      </c>
      <c r="P442" s="3" t="n">
        <v>31.03</v>
      </c>
      <c r="Q442" s="3" t="n">
        <v>15.15</v>
      </c>
      <c r="R442" s="3" t="n">
        <v>0.8934</v>
      </c>
      <c r="S442" s="3">
        <f>IF(OR(Q442="",R442="",Q442=0),"",R442/Q442*100)</f>
        <v/>
      </c>
    </row>
    <row r="443" ht="16" customHeight="1">
      <c r="A443" s="2" t="inlineStr">
        <is>
          <t>7786</t>
        </is>
      </c>
      <c r="B443" s="2" t="inlineStr">
        <is>
          <t>東方風能</t>
        </is>
      </c>
      <c r="C443" s="2" t="inlineStr">
        <is>
          <t>綠能環保</t>
        </is>
      </c>
      <c r="D443" s="3" t="n">
        <v>19.81</v>
      </c>
      <c r="E443" s="3" t="n">
        <v>15.79</v>
      </c>
      <c r="F443" s="3" t="n">
        <v>11.89</v>
      </c>
      <c r="G443" s="3" t="n">
        <v>22.27</v>
      </c>
      <c r="H443" s="3" t="n">
        <v>19.96</v>
      </c>
      <c r="I443" s="3" t="n">
        <v>15.22</v>
      </c>
      <c r="J443" s="4">
        <f>IF(OR(D443="",G443=""),"",G443-D443)</f>
        <v/>
      </c>
      <c r="K443" s="4">
        <f>IF(OR(E443="",H443=""),"",H443-E443)</f>
        <v/>
      </c>
      <c r="L443" s="4">
        <f>IF(OR(F443="",I443=""),"",I443-F443)</f>
        <v/>
      </c>
      <c r="M443" s="3" t="n">
        <v>1.2</v>
      </c>
      <c r="N443" s="3" t="n">
        <v>4.91</v>
      </c>
      <c r="O443" s="3" t="n">
        <v>3.71</v>
      </c>
      <c r="P443" s="3" t="n">
        <v>11.44</v>
      </c>
      <c r="Q443" s="3" t="n">
        <v>121.5</v>
      </c>
      <c r="R443" s="3" t="n">
        <v>5.6</v>
      </c>
      <c r="S443" s="3">
        <f>IF(OR(Q443="",R443="",Q443=0),"",R443/Q443*100)</f>
        <v/>
      </c>
    </row>
    <row r="444" ht="16" customHeight="1">
      <c r="A444" s="2" t="inlineStr">
        <is>
          <t>7788</t>
        </is>
      </c>
      <c r="B444" s="2" t="inlineStr">
        <is>
          <t>松川精密</t>
        </is>
      </c>
      <c r="C444" s="2" t="inlineStr">
        <is>
          <t>電子零組件</t>
        </is>
      </c>
      <c r="D444" s="3" t="n">
        <v>26.94</v>
      </c>
      <c r="E444" s="3" t="n">
        <v>9.630000000000001</v>
      </c>
      <c r="F444" s="3" t="n">
        <v>9.5</v>
      </c>
      <c r="G444" s="3" t="n"/>
      <c r="H444" s="3" t="n"/>
      <c r="I444" s="3" t="n"/>
      <c r="J444" s="4">
        <f>IF(OR(D444="",G444=""),"",G444-D444)</f>
        <v/>
      </c>
      <c r="K444" s="4">
        <f>IF(OR(E444="",H444=""),"",H444-E444)</f>
        <v/>
      </c>
      <c r="L444" s="4">
        <f>IF(OR(F444="",I444=""),"",I444-F444)</f>
        <v/>
      </c>
      <c r="M444" s="3" t="n">
        <v>2.22</v>
      </c>
      <c r="N444" s="3" t="n">
        <v>5.52</v>
      </c>
      <c r="O444" s="3" t="n">
        <v>3.3</v>
      </c>
      <c r="P444" s="3" t="n">
        <v>29.91</v>
      </c>
      <c r="Q444" s="3" t="n">
        <v>242.5</v>
      </c>
      <c r="R444" s="3" t="n">
        <v>2</v>
      </c>
      <c r="S444" s="3">
        <f>IF(OR(Q444="",R444="",Q444=0),"",R444/Q444*100)</f>
        <v/>
      </c>
    </row>
    <row r="445" ht="16" customHeight="1">
      <c r="A445" s="2" t="inlineStr">
        <is>
          <t>7795</t>
        </is>
      </c>
      <c r="B445" s="2" t="inlineStr">
        <is>
          <t>長廣</t>
        </is>
      </c>
      <c r="C445" s="2" t="inlineStr">
        <is>
          <t>電子零組件業</t>
        </is>
      </c>
      <c r="D445" s="3" t="n">
        <v>39.4</v>
      </c>
      <c r="E445" s="3" t="n">
        <v>10.99</v>
      </c>
      <c r="F445" s="3" t="n">
        <v>3.85</v>
      </c>
      <c r="G445" s="3" t="n">
        <v>43.42</v>
      </c>
      <c r="H445" s="3" t="n">
        <v>19.74</v>
      </c>
      <c r="I445" s="3" t="n">
        <v>11.21</v>
      </c>
      <c r="J445" s="4">
        <f>IF(OR(D445="",G445=""),"",G445-D445)</f>
        <v/>
      </c>
      <c r="K445" s="4">
        <f>IF(OR(E445="",H445=""),"",H445-E445)</f>
        <v/>
      </c>
      <c r="L445" s="4">
        <f>IF(OR(F445="",I445=""),"",I445-F445)</f>
        <v/>
      </c>
      <c r="M445" s="3" t="n">
        <v>0.21</v>
      </c>
      <c r="N445" s="3" t="n">
        <v>0.88</v>
      </c>
      <c r="O445" s="3" t="n">
        <v>0.67</v>
      </c>
      <c r="P445" s="3" t="n">
        <v>251.33</v>
      </c>
      <c r="Q445" s="3" t="n">
        <v>401.5</v>
      </c>
      <c r="R445" s="3" t="n">
        <v>2.15</v>
      </c>
      <c r="S445" s="3">
        <f>IF(OR(Q445="",R445="",Q445=0),"",R445/Q445*100)</f>
        <v/>
      </c>
    </row>
    <row r="446" ht="16" customHeight="1">
      <c r="A446" s="2" t="inlineStr">
        <is>
          <t>7799</t>
        </is>
      </c>
      <c r="B446" s="2" t="inlineStr">
        <is>
          <t>禾榮科</t>
        </is>
      </c>
      <c r="C446" s="2" t="inlineStr">
        <is>
          <t>生技</t>
        </is>
      </c>
      <c r="D446" s="3" t="n">
        <v>-0.59</v>
      </c>
      <c r="E446" s="3" t="n">
        <v>-3067.28</v>
      </c>
      <c r="F446" s="3" t="n">
        <v>-1995.78</v>
      </c>
      <c r="G446" s="3" t="n">
        <v>-1506.35</v>
      </c>
      <c r="H446" s="3" t="n">
        <v>-28244.25</v>
      </c>
      <c r="I446" s="3" t="n">
        <v>-21313.29</v>
      </c>
      <c r="J446" s="4">
        <f>IF(OR(D446="",G446=""),"",G446-D446)</f>
        <v/>
      </c>
      <c r="K446" s="4">
        <f>IF(OR(E446="",H446=""),"",H446-E446)</f>
        <v/>
      </c>
      <c r="L446" s="4">
        <f>IF(OR(F446="",I446=""),"",I446-F446)</f>
        <v/>
      </c>
      <c r="M446" s="3" t="n">
        <v>-0.37</v>
      </c>
      <c r="N446" s="3" t="n">
        <v>-1.05</v>
      </c>
      <c r="O446" s="3" t="n">
        <v>-0.68</v>
      </c>
      <c r="P446" s="3" t="n"/>
      <c r="Q446" s="3" t="n">
        <v>419</v>
      </c>
      <c r="R446" s="3" t="n"/>
      <c r="S446" s="3">
        <f>IF(OR(Q446="",R446="",Q446=0),"",R446/Q446*100)</f>
        <v/>
      </c>
    </row>
    <row r="447" ht="16" customHeight="1">
      <c r="A447" s="2" t="inlineStr">
        <is>
          <t>7805</t>
        </is>
      </c>
      <c r="B447" s="2" t="inlineStr">
        <is>
          <t>威聯通</t>
        </is>
      </c>
      <c r="C447" s="2" t="inlineStr">
        <is>
          <t>電腦及週邊設備業</t>
        </is>
      </c>
      <c r="D447" s="3" t="n">
        <v>61.29</v>
      </c>
      <c r="E447" s="3" t="n">
        <v>30.61</v>
      </c>
      <c r="F447" s="3" t="n">
        <v>24.27</v>
      </c>
      <c r="G447" s="3" t="n">
        <v>58.52</v>
      </c>
      <c r="H447" s="3" t="n">
        <v>25.69</v>
      </c>
      <c r="I447" s="3" t="n">
        <v>20.21</v>
      </c>
      <c r="J447" s="4">
        <f>IF(OR(D447="",G447=""),"",G447-D447)</f>
        <v/>
      </c>
      <c r="K447" s="4">
        <f>IF(OR(E447="",H447=""),"",H447-E447)</f>
        <v/>
      </c>
      <c r="L447" s="4">
        <f>IF(OR(F447="",I447=""),"",I447-F447)</f>
        <v/>
      </c>
      <c r="M447" s="3" t="n">
        <v>12.96</v>
      </c>
      <c r="N447" s="3" t="n">
        <v>23.22</v>
      </c>
      <c r="O447" s="3" t="n">
        <v>10.26</v>
      </c>
      <c r="P447" s="3" t="n">
        <v>14.24</v>
      </c>
      <c r="Q447" s="3" t="n">
        <v>449.5</v>
      </c>
      <c r="R447" s="3" t="n">
        <v>38</v>
      </c>
      <c r="S447" s="3">
        <f>IF(OR(Q447="",R447="",Q447=0),"",R447/Q447*100)</f>
        <v/>
      </c>
    </row>
    <row r="448" ht="16" customHeight="1">
      <c r="A448" s="2" t="inlineStr">
        <is>
          <t>7822</t>
        </is>
      </c>
      <c r="B448" s="2" t="inlineStr">
        <is>
          <t>倍利科</t>
        </is>
      </c>
      <c r="C448" s="2" t="inlineStr">
        <is>
          <t>半導體</t>
        </is>
      </c>
      <c r="D448" s="3" t="n">
        <v>59.18</v>
      </c>
      <c r="E448" s="3" t="n">
        <v>37.65</v>
      </c>
      <c r="F448" s="3" t="n">
        <v>30</v>
      </c>
      <c r="G448" s="3" t="n">
        <v>59.64</v>
      </c>
      <c r="H448" s="3" t="n">
        <v>37.48</v>
      </c>
      <c r="I448" s="3" t="n">
        <v>32.1</v>
      </c>
      <c r="J448" s="4">
        <f>IF(OR(D448="",G448=""),"",G448-D448)</f>
        <v/>
      </c>
      <c r="K448" s="4">
        <f>IF(OR(E448="",H448=""),"",H448-E448)</f>
        <v/>
      </c>
      <c r="L448" s="4">
        <f>IF(OR(F448="",I448=""),"",I448-F448)</f>
        <v/>
      </c>
      <c r="M448" s="3" t="n">
        <v>4.93</v>
      </c>
      <c r="N448" s="3" t="n">
        <v>10.12</v>
      </c>
      <c r="O448" s="3" t="n">
        <v>5.19</v>
      </c>
      <c r="P448" s="3" t="n">
        <v>51.64</v>
      </c>
      <c r="Q448" s="3" t="n">
        <v>733</v>
      </c>
      <c r="R448" s="3" t="n">
        <v>6.39</v>
      </c>
      <c r="S448" s="3">
        <f>IF(OR(Q448="",R448="",Q448=0),"",R448/Q448*100)</f>
        <v/>
      </c>
    </row>
    <row r="449" ht="16" customHeight="1">
      <c r="A449" s="2" t="inlineStr">
        <is>
          <t>7827</t>
        </is>
      </c>
      <c r="B449" s="2" t="inlineStr">
        <is>
          <t>漢康-KY</t>
        </is>
      </c>
      <c r="C449" s="2" t="inlineStr">
        <is>
          <t>生技</t>
        </is>
      </c>
      <c r="D449" s="3" t="n"/>
      <c r="E449" s="3" t="n"/>
      <c r="F449" s="3" t="n"/>
      <c r="G449" s="3" t="n"/>
      <c r="H449" s="3" t="n"/>
      <c r="I449" s="3" t="n"/>
      <c r="J449" s="4">
        <f>IF(OR(D449="",G449=""),"",G449-D449)</f>
        <v/>
      </c>
      <c r="K449" s="4">
        <f>IF(OR(E449="",H449=""),"",H449-E449)</f>
        <v/>
      </c>
      <c r="L449" s="4">
        <f>IF(OR(F449="",I449=""),"",I449-F449)</f>
        <v/>
      </c>
      <c r="M449" s="3" t="n"/>
      <c r="N449" s="3" t="n"/>
      <c r="O449" s="3" t="n"/>
      <c r="P449" s="3" t="n"/>
      <c r="Q449" s="3" t="n">
        <v>135.5</v>
      </c>
      <c r="R449" s="3" t="n"/>
      <c r="S449" s="3">
        <f>IF(OR(Q449="",R449="",Q449=0),"",R449/Q449*100)</f>
        <v/>
      </c>
    </row>
    <row r="450" ht="16" customHeight="1">
      <c r="A450" s="2" t="inlineStr">
        <is>
          <t>7828</t>
        </is>
      </c>
      <c r="B450" s="2" t="inlineStr">
        <is>
          <t>創新服務</t>
        </is>
      </c>
      <c r="C450" s="2" t="inlineStr">
        <is>
          <t>半導體業</t>
        </is>
      </c>
      <c r="D450" s="3" t="n">
        <v>80.18000000000001</v>
      </c>
      <c r="E450" s="3" t="n">
        <v>25.3</v>
      </c>
      <c r="F450" s="3" t="n">
        <v>24.5</v>
      </c>
      <c r="G450" s="3" t="n">
        <v>79.13</v>
      </c>
      <c r="H450" s="3" t="n">
        <v>45.36</v>
      </c>
      <c r="I450" s="3" t="n">
        <v>37.66</v>
      </c>
      <c r="J450" s="4">
        <f>IF(OR(D450="",G450=""),"",G450-D450)</f>
        <v/>
      </c>
      <c r="K450" s="4">
        <f>IF(OR(E450="",H450=""),"",H450-E450)</f>
        <v/>
      </c>
      <c r="L450" s="4">
        <f>IF(OR(F450="",I450=""),"",I450-F450)</f>
        <v/>
      </c>
      <c r="M450" s="3" t="n">
        <v>1.02</v>
      </c>
      <c r="N450" s="3" t="n">
        <v>4.72</v>
      </c>
      <c r="O450" s="3" t="n">
        <v>3.7</v>
      </c>
      <c r="P450" s="3" t="n">
        <v>174.44</v>
      </c>
      <c r="Q450" s="3" t="n">
        <v>1240</v>
      </c>
      <c r="R450" s="3" t="n">
        <v>4.53</v>
      </c>
      <c r="S450" s="3">
        <f>IF(OR(Q450="",R450="",Q450=0),"",R450/Q450*100)</f>
        <v/>
      </c>
    </row>
    <row r="451" ht="16" customHeight="1">
      <c r="A451" s="2" t="inlineStr">
        <is>
          <t>8016</t>
        </is>
      </c>
      <c r="B451" s="2" t="inlineStr">
        <is>
          <t>矽創</t>
        </is>
      </c>
      <c r="C451" s="2" t="inlineStr">
        <is>
          <t>半導體</t>
        </is>
      </c>
      <c r="D451" s="3" t="n">
        <v>31.33</v>
      </c>
      <c r="E451" s="3" t="n">
        <v>11.53</v>
      </c>
      <c r="F451" s="3" t="n">
        <v>12.78</v>
      </c>
      <c r="G451" s="3" t="n">
        <v>34.84</v>
      </c>
      <c r="H451" s="3" t="n">
        <v>16.44</v>
      </c>
      <c r="I451" s="3" t="n">
        <v>16.86</v>
      </c>
      <c r="J451" s="4">
        <f>IF(OR(D451="",G451=""),"",G451-D451)</f>
        <v/>
      </c>
      <c r="K451" s="4">
        <f>IF(OR(E451="",H451=""),"",H451-E451)</f>
        <v/>
      </c>
      <c r="L451" s="4">
        <f>IF(OR(F451="",I451=""),"",I451-F451)</f>
        <v/>
      </c>
      <c r="M451" s="3" t="n">
        <v>4.6</v>
      </c>
      <c r="N451" s="3" t="n">
        <v>12.28</v>
      </c>
      <c r="O451" s="3" t="n">
        <v>7.68</v>
      </c>
      <c r="P451" s="3" t="n">
        <v>14.77</v>
      </c>
      <c r="Q451" s="3" t="n">
        <v>288.5</v>
      </c>
      <c r="R451" s="3" t="n">
        <v>11.5</v>
      </c>
      <c r="S451" s="3">
        <f>IF(OR(Q451="",R451="",Q451=0),"",R451/Q451*100)</f>
        <v/>
      </c>
    </row>
    <row r="452" ht="16" customHeight="1">
      <c r="A452" s="2" t="inlineStr">
        <is>
          <t>8021</t>
        </is>
      </c>
      <c r="B452" s="2" t="inlineStr">
        <is>
          <t>尖點</t>
        </is>
      </c>
      <c r="C452" s="2" t="inlineStr">
        <is>
          <t>其他電子</t>
        </is>
      </c>
      <c r="D452" s="3" t="n">
        <v>36.59</v>
      </c>
      <c r="E452" s="3" t="n">
        <v>20.12</v>
      </c>
      <c r="F452" s="3" t="n">
        <v>14.14</v>
      </c>
      <c r="G452" s="3" t="n">
        <v>41.78</v>
      </c>
      <c r="H452" s="3" t="n">
        <v>28.08</v>
      </c>
      <c r="I452" s="3" t="n">
        <v>19.86</v>
      </c>
      <c r="J452" s="4">
        <f>IF(OR(D452="",G452=""),"",G452-D452)</f>
        <v/>
      </c>
      <c r="K452" s="4">
        <f>IF(OR(E452="",H452=""),"",H452-E452)</f>
        <v/>
      </c>
      <c r="L452" s="4">
        <f>IF(OR(F452="",I452=""),"",I452-F452)</f>
        <v/>
      </c>
      <c r="M452" s="3" t="n">
        <v>1.17</v>
      </c>
      <c r="N452" s="3" t="n">
        <v>3.25</v>
      </c>
      <c r="O452" s="3" t="n">
        <v>2.08</v>
      </c>
      <c r="P452" s="3" t="n">
        <v>78.33</v>
      </c>
      <c r="Q452" s="3" t="n">
        <v>418.5</v>
      </c>
      <c r="R452" s="3" t="n">
        <v>1.97</v>
      </c>
      <c r="S452" s="3">
        <f>IF(OR(Q452="",R452="",Q452=0),"",R452/Q452*100)</f>
        <v/>
      </c>
    </row>
    <row r="453" ht="16" customHeight="1">
      <c r="A453" s="2" t="inlineStr">
        <is>
          <t>8027</t>
        </is>
      </c>
      <c r="B453" s="2" t="inlineStr">
        <is>
          <t>鈦昇</t>
        </is>
      </c>
      <c r="C453" s="2" t="inlineStr">
        <is>
          <t>電機機械</t>
        </is>
      </c>
      <c r="D453" s="3" t="n">
        <v>29.75</v>
      </c>
      <c r="E453" s="3" t="n">
        <v>-17.94</v>
      </c>
      <c r="F453" s="3" t="n">
        <v>-6.2</v>
      </c>
      <c r="G453" s="3" t="n">
        <v>29.72</v>
      </c>
      <c r="H453" s="3" t="n">
        <v>-3.05</v>
      </c>
      <c r="I453" s="3" t="n">
        <v>-4.09</v>
      </c>
      <c r="J453" s="4">
        <f>IF(OR(D453="",G453=""),"",G453-D453)</f>
        <v/>
      </c>
      <c r="K453" s="4">
        <f>IF(OR(E453="",H453=""),"",H453-E453)</f>
        <v/>
      </c>
      <c r="L453" s="4">
        <f>IF(OR(F453="",I453=""),"",I453-F453)</f>
        <v/>
      </c>
      <c r="M453" s="3" t="n">
        <v>-0.22</v>
      </c>
      <c r="N453" s="3" t="n">
        <v>-0.46</v>
      </c>
      <c r="O453" s="3" t="n">
        <v>-0.24</v>
      </c>
      <c r="P453" s="3" t="n">
        <v>558.33</v>
      </c>
      <c r="Q453" s="3" t="n">
        <v>163.5</v>
      </c>
      <c r="R453" s="3" t="n"/>
      <c r="S453" s="3">
        <f>IF(OR(Q453="",R453="",Q453=0),"",R453/Q453*100)</f>
        <v/>
      </c>
    </row>
    <row r="454" ht="16" customHeight="1">
      <c r="A454" s="2" t="inlineStr">
        <is>
          <t>8028</t>
        </is>
      </c>
      <c r="B454" s="2" t="inlineStr">
        <is>
          <t>昇陽半導體</t>
        </is>
      </c>
      <c r="C454" s="2" t="inlineStr">
        <is>
          <t>半導體業</t>
        </is>
      </c>
      <c r="D454" s="3" t="n">
        <v>37.57</v>
      </c>
      <c r="E454" s="3" t="n">
        <v>25.5</v>
      </c>
      <c r="F454" s="3" t="n">
        <v>21.97</v>
      </c>
      <c r="G454" s="3" t="n">
        <v>37.89</v>
      </c>
      <c r="H454" s="3" t="n">
        <v>25.94</v>
      </c>
      <c r="I454" s="3" t="n">
        <v>21.62</v>
      </c>
      <c r="J454" s="4">
        <f>IF(OR(D454="",G454=""),"",G454-D454)</f>
        <v/>
      </c>
      <c r="K454" s="4">
        <f>IF(OR(E454="",H454=""),"",H454-E454)</f>
        <v/>
      </c>
      <c r="L454" s="4">
        <f>IF(OR(F454="",I454=""),"",I454-F454)</f>
        <v/>
      </c>
      <c r="M454" s="3" t="n">
        <v>1.61</v>
      </c>
      <c r="N454" s="3" t="n">
        <v>3.32</v>
      </c>
      <c r="O454" s="3" t="n">
        <v>1.71</v>
      </c>
      <c r="P454" s="3" t="n">
        <v>43.46</v>
      </c>
      <c r="Q454" s="3" t="n">
        <v>236</v>
      </c>
      <c r="R454" s="3" t="n">
        <v>2.7</v>
      </c>
      <c r="S454" s="3">
        <f>IF(OR(Q454="",R454="",Q454=0),"",R454/Q454*100)</f>
        <v/>
      </c>
    </row>
    <row r="455" ht="16" customHeight="1">
      <c r="A455" s="2" t="inlineStr">
        <is>
          <t>8033</t>
        </is>
      </c>
      <c r="B455" s="2" t="inlineStr">
        <is>
          <t>雷虎</t>
        </is>
      </c>
      <c r="C455" s="2" t="inlineStr">
        <is>
          <t>其他</t>
        </is>
      </c>
      <c r="D455" s="3" t="n">
        <v>38.21</v>
      </c>
      <c r="E455" s="3" t="n">
        <v>-0.7</v>
      </c>
      <c r="F455" s="3" t="n">
        <v>13.52</v>
      </c>
      <c r="G455" s="3" t="n">
        <v>35.54</v>
      </c>
      <c r="H455" s="3" t="n">
        <v>0.1</v>
      </c>
      <c r="I455" s="3" t="n">
        <v>9.859999999999999</v>
      </c>
      <c r="J455" s="4">
        <f>IF(OR(D455="",G455=""),"",G455-D455)</f>
        <v/>
      </c>
      <c r="K455" s="4">
        <f>IF(OR(E455="",H455=""),"",H455-E455)</f>
        <v/>
      </c>
      <c r="L455" s="4">
        <f>IF(OR(F455="",I455=""),"",I455-F455)</f>
        <v/>
      </c>
      <c r="M455" s="3" t="n">
        <v>0.34</v>
      </c>
      <c r="N455" s="3" t="n">
        <v>0.62</v>
      </c>
      <c r="O455" s="3" t="n">
        <v>0.28</v>
      </c>
      <c r="P455" s="3" t="n">
        <v>385.42</v>
      </c>
      <c r="Q455" s="3" t="n">
        <v>156.5</v>
      </c>
      <c r="R455" s="3" t="n"/>
      <c r="S455" s="3">
        <f>IF(OR(Q455="",R455="",Q455=0),"",R455/Q455*100)</f>
        <v/>
      </c>
    </row>
    <row r="456" ht="16" customHeight="1">
      <c r="A456" s="2" t="inlineStr">
        <is>
          <t>8039</t>
        </is>
      </c>
      <c r="B456" s="2" t="inlineStr">
        <is>
          <t>台虹</t>
        </is>
      </c>
      <c r="C456" s="2" t="inlineStr">
        <is>
          <t>電子工業</t>
        </is>
      </c>
      <c r="D456" s="3" t="n">
        <v>22.03</v>
      </c>
      <c r="E456" s="3" t="n">
        <v>6.06</v>
      </c>
      <c r="F456" s="3" t="n">
        <v>7.24</v>
      </c>
      <c r="G456" s="3" t="n">
        <v>23.13</v>
      </c>
      <c r="H456" s="3" t="n">
        <v>6.41</v>
      </c>
      <c r="I456" s="3" t="n">
        <v>8.960000000000001</v>
      </c>
      <c r="J456" s="4">
        <f>IF(OR(D456="",G456=""),"",G456-D456)</f>
        <v/>
      </c>
      <c r="K456" s="4">
        <f>IF(OR(E456="",H456=""),"",H456-E456)</f>
        <v/>
      </c>
      <c r="L456" s="4">
        <f>IF(OR(F456="",I456=""),"",I456-F456)</f>
        <v/>
      </c>
      <c r="M456" s="3" t="n">
        <v>0.65</v>
      </c>
      <c r="N456" s="3" t="n">
        <v>1.56</v>
      </c>
      <c r="O456" s="3" t="n">
        <v>0.91</v>
      </c>
      <c r="P456" s="3" t="n">
        <v>89.52</v>
      </c>
      <c r="Q456" s="3" t="n">
        <v>245</v>
      </c>
      <c r="R456" s="3" t="n">
        <v>1.99</v>
      </c>
      <c r="S456" s="3">
        <f>IF(OR(Q456="",R456="",Q456=0),"",R456/Q456*100)</f>
        <v/>
      </c>
    </row>
    <row r="457" ht="16" customHeight="1">
      <c r="A457" s="2" t="inlineStr">
        <is>
          <t>8046</t>
        </is>
      </c>
      <c r="B457" s="2" t="inlineStr">
        <is>
          <t>南電</t>
        </is>
      </c>
      <c r="C457" s="2" t="inlineStr">
        <is>
          <t>電子工業</t>
        </is>
      </c>
      <c r="D457" s="3" t="n">
        <v>15.85</v>
      </c>
      <c r="E457" s="3" t="n">
        <v>12.1</v>
      </c>
      <c r="F457" s="3" t="n">
        <v>11.71</v>
      </c>
      <c r="G457" s="3" t="n">
        <v>24.75</v>
      </c>
      <c r="H457" s="3" t="n">
        <v>21.36</v>
      </c>
      <c r="I457" s="3" t="n">
        <v>16.66</v>
      </c>
      <c r="J457" s="4">
        <f>IF(OR(D457="",G457=""),"",G457-D457)</f>
        <v/>
      </c>
      <c r="K457" s="4">
        <f>IF(OR(E457="",H457=""),"",H457-E457)</f>
        <v/>
      </c>
      <c r="L457" s="4">
        <f>IF(OR(F457="",I457=""),"",I457-F457)</f>
        <v/>
      </c>
      <c r="M457" s="3" t="n">
        <v>2.03</v>
      </c>
      <c r="N457" s="3" t="n">
        <v>5.54</v>
      </c>
      <c r="O457" s="3" t="n">
        <v>3.51</v>
      </c>
      <c r="P457" s="3" t="n">
        <v>153.35</v>
      </c>
      <c r="Q457" s="3" t="n">
        <v>1190</v>
      </c>
      <c r="R457" s="3" t="n">
        <v>2</v>
      </c>
      <c r="S457" s="3">
        <f>IF(OR(Q457="",R457="",Q457=0),"",R457/Q457*100)</f>
        <v/>
      </c>
    </row>
    <row r="458" ht="16" customHeight="1">
      <c r="A458" s="2" t="inlineStr">
        <is>
          <t>8064</t>
        </is>
      </c>
      <c r="B458" s="2" t="inlineStr">
        <is>
          <t>東捷</t>
        </is>
      </c>
      <c r="C458" s="2" t="inlineStr">
        <is>
          <t>光電業</t>
        </is>
      </c>
      <c r="D458" s="3" t="n">
        <v>24.66</v>
      </c>
      <c r="E458" s="3" t="n">
        <v>4.26</v>
      </c>
      <c r="F458" s="3" t="n">
        <v>9.65</v>
      </c>
      <c r="G458" s="3" t="n">
        <v>30.69</v>
      </c>
      <c r="H458" s="3" t="n">
        <v>6.23</v>
      </c>
      <c r="I458" s="3" t="n">
        <v>7.37</v>
      </c>
      <c r="J458" s="4">
        <f>IF(OR(D458="",G458=""),"",G458-D458)</f>
        <v/>
      </c>
      <c r="K458" s="4">
        <f>IF(OR(E458="",H458=""),"",H458-E458)</f>
        <v/>
      </c>
      <c r="L458" s="4">
        <f>IF(OR(F458="",I458=""),"",I458-F458)</f>
        <v/>
      </c>
      <c r="M458" s="3" t="n">
        <v>0.35</v>
      </c>
      <c r="N458" s="3" t="n">
        <v>0.57</v>
      </c>
      <c r="O458" s="3" t="n">
        <v>0.22</v>
      </c>
      <c r="P458" s="3" t="n">
        <v>42.18</v>
      </c>
      <c r="Q458" s="3" t="n">
        <v>113</v>
      </c>
      <c r="R458" s="3" t="n">
        <v>0.98</v>
      </c>
      <c r="S458" s="3">
        <f>IF(OR(Q458="",R458="",Q458=0),"",R458/Q458*100)</f>
        <v/>
      </c>
    </row>
    <row r="459" ht="16" customHeight="1">
      <c r="A459" s="2" t="inlineStr">
        <is>
          <t>8069</t>
        </is>
      </c>
      <c r="B459" s="2" t="inlineStr">
        <is>
          <t>元太</t>
        </is>
      </c>
      <c r="C459" s="2" t="inlineStr">
        <is>
          <t>光電業</t>
        </is>
      </c>
      <c r="D459" s="3" t="n">
        <v>59.65</v>
      </c>
      <c r="E459" s="3" t="n">
        <v>32.59</v>
      </c>
      <c r="F459" s="3" t="n">
        <v>32.38</v>
      </c>
      <c r="G459" s="3" t="n">
        <v>58.72</v>
      </c>
      <c r="H459" s="3" t="n">
        <v>34.67</v>
      </c>
      <c r="I459" s="3" t="n">
        <v>36.79</v>
      </c>
      <c r="J459" s="4">
        <f>IF(OR(D459="",G459=""),"",G459-D459)</f>
        <v/>
      </c>
      <c r="K459" s="4">
        <f>IF(OR(E459="",H459=""),"",H459-E459)</f>
        <v/>
      </c>
      <c r="L459" s="4">
        <f>IF(OR(F459="",I459=""),"",I459-F459)</f>
        <v/>
      </c>
      <c r="M459" s="3" t="n">
        <v>2.41</v>
      </c>
      <c r="N459" s="3" t="n">
        <v>5.65</v>
      </c>
      <c r="O459" s="3" t="n">
        <v>3.24</v>
      </c>
      <c r="P459" s="3" t="n">
        <v>16.1</v>
      </c>
      <c r="Q459" s="3" t="n">
        <v>149</v>
      </c>
      <c r="R459" s="3" t="n">
        <v>5.89</v>
      </c>
      <c r="S459" s="3">
        <f>IF(OR(Q459="",R459="",Q459=0),"",R459/Q459*100)</f>
        <v/>
      </c>
    </row>
    <row r="460" ht="16" customHeight="1">
      <c r="A460" s="2" t="inlineStr">
        <is>
          <t>8070</t>
        </is>
      </c>
      <c r="B460" s="2" t="inlineStr">
        <is>
          <t>長華</t>
        </is>
      </c>
      <c r="C460" s="2" t="inlineStr">
        <is>
          <t>電子工業</t>
        </is>
      </c>
      <c r="D460" s="3" t="n">
        <v>18.52</v>
      </c>
      <c r="E460" s="3" t="n">
        <v>12.13</v>
      </c>
      <c r="F460" s="3" t="n">
        <v>11.04</v>
      </c>
      <c r="G460" s="3" t="n">
        <v>19.13</v>
      </c>
      <c r="H460" s="3" t="n">
        <v>11.9</v>
      </c>
      <c r="I460" s="3" t="n">
        <v>13.63</v>
      </c>
      <c r="J460" s="4">
        <f>IF(OR(D460="",G460=""),"",G460-D460)</f>
        <v/>
      </c>
      <c r="K460" s="4">
        <f>IF(OR(E460="",H460=""),"",H460-E460)</f>
        <v/>
      </c>
      <c r="L460" s="4">
        <f>IF(OR(F460="",I460=""),"",I460-F460)</f>
        <v/>
      </c>
      <c r="M460" s="3" t="n">
        <v>0.51</v>
      </c>
      <c r="N460" s="3" t="n">
        <v>1.29</v>
      </c>
      <c r="O460" s="3" t="n">
        <v>0.78</v>
      </c>
      <c r="P460" s="3" t="n">
        <v>28.99</v>
      </c>
      <c r="Q460" s="3" t="n">
        <v>48.15</v>
      </c>
      <c r="R460" s="3" t="n">
        <v>0.68</v>
      </c>
      <c r="S460" s="3">
        <f>IF(OR(Q460="",R460="",Q460=0),"",R460/Q460*100)</f>
        <v/>
      </c>
    </row>
    <row r="461" ht="16" customHeight="1">
      <c r="A461" s="2" t="inlineStr">
        <is>
          <t>8081</t>
        </is>
      </c>
      <c r="B461" s="2" t="inlineStr">
        <is>
          <t>致新</t>
        </is>
      </c>
      <c r="C461" s="2" t="inlineStr">
        <is>
          <t>半導體業</t>
        </is>
      </c>
      <c r="D461" s="3" t="n">
        <v>39.61</v>
      </c>
      <c r="E461" s="3" t="n">
        <v>17.55</v>
      </c>
      <c r="F461" s="3" t="n">
        <v>19.05</v>
      </c>
      <c r="G461" s="3" t="n">
        <v>40.41</v>
      </c>
      <c r="H461" s="3" t="n">
        <v>20.18</v>
      </c>
      <c r="I461" s="3" t="n">
        <v>17.74</v>
      </c>
      <c r="J461" s="4">
        <f>IF(OR(D461="",G461=""),"",G461-D461)</f>
        <v/>
      </c>
      <c r="K461" s="4">
        <f>IF(OR(E461="",H461=""),"",H461-E461)</f>
        <v/>
      </c>
      <c r="L461" s="4">
        <f>IF(OR(F461="",I461=""),"",I461-F461)</f>
        <v/>
      </c>
      <c r="M461" s="3" t="n">
        <v>4.62</v>
      </c>
      <c r="N461" s="3" t="n">
        <v>9.130000000000001</v>
      </c>
      <c r="O461" s="3" t="n">
        <v>4.51</v>
      </c>
      <c r="P461" s="3" t="n">
        <v>13.97</v>
      </c>
      <c r="Q461" s="3" t="n">
        <v>266</v>
      </c>
      <c r="R461" s="3" t="n">
        <v>16</v>
      </c>
      <c r="S461" s="3">
        <f>IF(OR(Q461="",R461="",Q461=0),"",R461/Q461*100)</f>
        <v/>
      </c>
    </row>
    <row r="462" ht="16" customHeight="1">
      <c r="A462" s="2" t="inlineStr">
        <is>
          <t>8086</t>
        </is>
      </c>
      <c r="B462" s="2" t="inlineStr">
        <is>
          <t>宏捷科</t>
        </is>
      </c>
      <c r="C462" s="2" t="inlineStr">
        <is>
          <t>半導體業</t>
        </is>
      </c>
      <c r="D462" s="3" t="n">
        <v>34.63</v>
      </c>
      <c r="E462" s="3" t="n">
        <v>27.35</v>
      </c>
      <c r="F462" s="3" t="n">
        <v>24.29</v>
      </c>
      <c r="G462" s="3" t="n">
        <v>29.98</v>
      </c>
      <c r="H462" s="3" t="n">
        <v>22.3</v>
      </c>
      <c r="I462" s="3" t="n">
        <v>21.44</v>
      </c>
      <c r="J462" s="4">
        <f>IF(OR(D462="",G462=""),"",G462-D462)</f>
        <v/>
      </c>
      <c r="K462" s="4">
        <f>IF(OR(E462="",H462=""),"",H462-E462)</f>
        <v/>
      </c>
      <c r="L462" s="4">
        <f>IF(OR(F462="",I462=""),"",I462-F462)</f>
        <v/>
      </c>
      <c r="M462" s="3" t="n">
        <v>1.51</v>
      </c>
      <c r="N462" s="3" t="n">
        <v>2.93</v>
      </c>
      <c r="O462" s="3" t="n">
        <v>1.42</v>
      </c>
      <c r="P462" s="3" t="n">
        <v>21.27</v>
      </c>
      <c r="Q462" s="3" t="n">
        <v>114</v>
      </c>
      <c r="R462" s="3" t="n">
        <v>1.68</v>
      </c>
      <c r="S462" s="3">
        <f>IF(OR(Q462="",R462="",Q462=0),"",R462/Q462*100)</f>
        <v/>
      </c>
    </row>
    <row r="463" ht="16" customHeight="1">
      <c r="A463" s="2" t="inlineStr">
        <is>
          <t>8091</t>
        </is>
      </c>
      <c r="B463" s="2" t="inlineStr">
        <is>
          <t>翔名</t>
        </is>
      </c>
      <c r="C463" s="2" t="inlineStr">
        <is>
          <t>電子零組件業</t>
        </is>
      </c>
      <c r="D463" s="3" t="n">
        <v>40.59</v>
      </c>
      <c r="E463" s="3" t="n">
        <v>21.84</v>
      </c>
      <c r="F463" s="3" t="n">
        <v>20.08</v>
      </c>
      <c r="G463" s="3" t="n">
        <v>35.48</v>
      </c>
      <c r="H463" s="3" t="n">
        <v>24.56</v>
      </c>
      <c r="I463" s="3" t="n">
        <v>19.84</v>
      </c>
      <c r="J463" s="4">
        <f>IF(OR(D463="",G463=""),"",G463-D463)</f>
        <v/>
      </c>
      <c r="K463" s="4">
        <f>IF(OR(E463="",H463=""),"",H463-E463)</f>
        <v/>
      </c>
      <c r="L463" s="4">
        <f>IF(OR(F463="",I463=""),"",I463-F463)</f>
        <v/>
      </c>
      <c r="M463" s="3" t="n">
        <v>2.56</v>
      </c>
      <c r="N463" s="3" t="n">
        <v>6.01</v>
      </c>
      <c r="O463" s="3" t="n">
        <v>3.45</v>
      </c>
      <c r="P463" s="3" t="n">
        <v>24.06</v>
      </c>
      <c r="Q463" s="3" t="n">
        <v>194.5</v>
      </c>
      <c r="R463" s="3" t="n">
        <v>4.22</v>
      </c>
      <c r="S463" s="3">
        <f>IF(OR(Q463="",R463="",Q463=0),"",R463/Q463*100)</f>
        <v/>
      </c>
    </row>
    <row r="464" ht="16" customHeight="1">
      <c r="A464" s="2" t="inlineStr">
        <is>
          <t>8096</t>
        </is>
      </c>
      <c r="B464" s="2" t="inlineStr">
        <is>
          <t>擎亞</t>
        </is>
      </c>
      <c r="C464" s="2" t="inlineStr">
        <is>
          <t>電子通路業</t>
        </is>
      </c>
      <c r="D464" s="3" t="n">
        <v>6.16</v>
      </c>
      <c r="E464" s="3" t="n">
        <v>4.24</v>
      </c>
      <c r="F464" s="3" t="n">
        <v>2.79</v>
      </c>
      <c r="G464" s="3" t="n">
        <v>2.44</v>
      </c>
      <c r="H464" s="3" t="n">
        <v>0.99</v>
      </c>
      <c r="I464" s="3" t="n">
        <v>1.21</v>
      </c>
      <c r="J464" s="4">
        <f>IF(OR(D464="",G464=""),"",G464-D464)</f>
        <v/>
      </c>
      <c r="K464" s="4">
        <f>IF(OR(E464="",H464=""),"",H464-E464)</f>
        <v/>
      </c>
      <c r="L464" s="4">
        <f>IF(OR(F464="",I464=""),"",I464-F464)</f>
        <v/>
      </c>
      <c r="M464" s="3" t="n">
        <v>1.9</v>
      </c>
      <c r="N464" s="3" t="n">
        <v>3.3</v>
      </c>
      <c r="O464" s="3" t="n">
        <v>1.4</v>
      </c>
      <c r="P464" s="3" t="n">
        <v>32.18</v>
      </c>
      <c r="Q464" s="3" t="n">
        <v>80.8</v>
      </c>
      <c r="R464" s="3" t="n"/>
      <c r="S464" s="3">
        <f>IF(OR(Q464="",R464="",Q464=0),"",R464/Q464*100)</f>
        <v/>
      </c>
    </row>
    <row r="465" ht="16" customHeight="1">
      <c r="A465" s="2" t="inlineStr">
        <is>
          <t>8110</t>
        </is>
      </c>
      <c r="B465" s="2" t="inlineStr">
        <is>
          <t>華東</t>
        </is>
      </c>
      <c r="C465" s="2" t="inlineStr">
        <is>
          <t>半導體業</t>
        </is>
      </c>
      <c r="D465" s="3" t="n">
        <v>10.04</v>
      </c>
      <c r="E465" s="3" t="n">
        <v>5.25</v>
      </c>
      <c r="F465" s="3" t="n">
        <v>12.49</v>
      </c>
      <c r="G465" s="3" t="n">
        <v>9.1</v>
      </c>
      <c r="H465" s="3" t="n">
        <v>0.2</v>
      </c>
      <c r="I465" s="3" t="n">
        <v>55.43</v>
      </c>
      <c r="J465" s="4">
        <f>IF(OR(D465="",G465=""),"",G465-D465)</f>
        <v/>
      </c>
      <c r="K465" s="4">
        <f>IF(OR(E465="",H465=""),"",H465-E465)</f>
        <v/>
      </c>
      <c r="L465" s="4">
        <f>IF(OR(F465="",I465=""),"",I465-F465)</f>
        <v/>
      </c>
      <c r="M465" s="3" t="n">
        <v>0.49</v>
      </c>
      <c r="N465" s="3" t="n">
        <v>2.59</v>
      </c>
      <c r="O465" s="3" t="n">
        <v>2.1</v>
      </c>
      <c r="P465" s="3" t="n">
        <v>8.289999999999999</v>
      </c>
      <c r="Q465" s="3" t="n">
        <v>42.7</v>
      </c>
      <c r="R465" s="3" t="n">
        <v>1.49</v>
      </c>
      <c r="S465" s="3">
        <f>IF(OR(Q465="",R465="",Q465=0),"",R465/Q465*100)</f>
        <v/>
      </c>
    </row>
    <row r="466" ht="16" customHeight="1">
      <c r="A466" s="2" t="inlineStr">
        <is>
          <t>8112</t>
        </is>
      </c>
      <c r="B466" s="2" t="inlineStr">
        <is>
          <t>至上</t>
        </is>
      </c>
      <c r="C466" s="2" t="inlineStr">
        <is>
          <t>電子工業</t>
        </is>
      </c>
      <c r="D466" s="3" t="n">
        <v>3.85</v>
      </c>
      <c r="E466" s="3" t="n">
        <v>3.1</v>
      </c>
      <c r="F466" s="3" t="n">
        <v>1.98</v>
      </c>
      <c r="G466" s="3" t="n">
        <v>3.77</v>
      </c>
      <c r="H466" s="3" t="n">
        <v>3.21</v>
      </c>
      <c r="I466" s="3" t="n">
        <v>1.96</v>
      </c>
      <c r="J466" s="4">
        <f>IF(OR(D466="",G466=""),"",G466-D466)</f>
        <v/>
      </c>
      <c r="K466" s="4">
        <f>IF(OR(E466="",H466=""),"",H466-E466)</f>
        <v/>
      </c>
      <c r="L466" s="4">
        <f>IF(OR(F466="",I466=""),"",I466-F466)</f>
        <v/>
      </c>
      <c r="M466" s="3" t="n">
        <v>3.91</v>
      </c>
      <c r="N466" s="3" t="n">
        <v>9.449999999999999</v>
      </c>
      <c r="O466" s="3" t="n">
        <v>5.54</v>
      </c>
      <c r="P466" s="3" t="n">
        <v>7.22</v>
      </c>
      <c r="Q466" s="3" t="n">
        <v>81.90000000000001</v>
      </c>
      <c r="R466" s="3" t="n">
        <v>3.8</v>
      </c>
      <c r="S466" s="3">
        <f>IF(OR(Q466="",R466="",Q466=0),"",R466/Q466*100)</f>
        <v/>
      </c>
    </row>
    <row r="467" ht="16" customHeight="1">
      <c r="A467" s="2" t="inlineStr">
        <is>
          <t>8114</t>
        </is>
      </c>
      <c r="B467" s="2" t="inlineStr">
        <is>
          <t>振樺電</t>
        </is>
      </c>
      <c r="C467" s="2" t="inlineStr">
        <is>
          <t>電腦週邊</t>
        </is>
      </c>
      <c r="D467" s="3" t="n">
        <v>47</v>
      </c>
      <c r="E467" s="3" t="n">
        <v>17.79</v>
      </c>
      <c r="F467" s="3" t="n">
        <v>14.64</v>
      </c>
      <c r="G467" s="3" t="n">
        <v>39.45</v>
      </c>
      <c r="H467" s="3" t="n">
        <v>18.59</v>
      </c>
      <c r="I467" s="3" t="n">
        <v>14.68</v>
      </c>
      <c r="J467" s="4">
        <f>IF(OR(D467="",G467=""),"",G467-D467)</f>
        <v/>
      </c>
      <c r="K467" s="4">
        <f>IF(OR(E467="",H467=""),"",H467-E467)</f>
        <v/>
      </c>
      <c r="L467" s="4">
        <f>IF(OR(F467="",I467=""),"",I467-F467)</f>
        <v/>
      </c>
      <c r="M467" s="3" t="n">
        <v>2.75</v>
      </c>
      <c r="N467" s="3" t="n">
        <v>7.09</v>
      </c>
      <c r="O467" s="3" t="n">
        <v>4.34</v>
      </c>
      <c r="P467" s="3" t="n">
        <v>13.93</v>
      </c>
      <c r="Q467" s="3" t="n">
        <v>169</v>
      </c>
      <c r="R467" s="3" t="n">
        <v>11.47</v>
      </c>
      <c r="S467" s="3">
        <f>IF(OR(Q467="",R467="",Q467=0),"",R467/Q467*100)</f>
        <v/>
      </c>
    </row>
    <row r="468" ht="16" customHeight="1">
      <c r="A468" s="2" t="inlineStr">
        <is>
          <t>8131</t>
        </is>
      </c>
      <c r="B468" s="2" t="inlineStr">
        <is>
          <t>福懋科</t>
        </is>
      </c>
      <c r="C468" s="2" t="inlineStr">
        <is>
          <t>半導體業</t>
        </is>
      </c>
      <c r="D468" s="3" t="n">
        <v>19.55</v>
      </c>
      <c r="E468" s="3" t="n">
        <v>16.12</v>
      </c>
      <c r="F468" s="3" t="n">
        <v>14.48</v>
      </c>
      <c r="G468" s="3" t="n">
        <v>19.64</v>
      </c>
      <c r="H468" s="3" t="n">
        <v>15.35</v>
      </c>
      <c r="I468" s="3" t="n">
        <v>13.59</v>
      </c>
      <c r="J468" s="4">
        <f>IF(OR(D468="",G468=""),"",G468-D468)</f>
        <v/>
      </c>
      <c r="K468" s="4">
        <f>IF(OR(E468="",H468=""),"",H468-E468)</f>
        <v/>
      </c>
      <c r="L468" s="4">
        <f>IF(OR(F468="",I468=""),"",I468-F468)</f>
        <v/>
      </c>
      <c r="M468" s="3" t="n">
        <v>0.96</v>
      </c>
      <c r="N468" s="3" t="n">
        <v>1.93</v>
      </c>
      <c r="O468" s="3" t="n">
        <v>0.97</v>
      </c>
      <c r="P468" s="3" t="n">
        <v>18.09</v>
      </c>
      <c r="Q468" s="3" t="n">
        <v>58.8</v>
      </c>
      <c r="R468" s="3" t="n">
        <v>1</v>
      </c>
      <c r="S468" s="3">
        <f>IF(OR(Q468="",R468="",Q468=0),"",R468/Q468*100)</f>
        <v/>
      </c>
    </row>
    <row r="469" ht="16" customHeight="1">
      <c r="A469" s="2" t="inlineStr">
        <is>
          <t>8150</t>
        </is>
      </c>
      <c r="B469" s="2" t="inlineStr">
        <is>
          <t>南茂</t>
        </is>
      </c>
      <c r="C469" s="2" t="inlineStr">
        <is>
          <t>半導體業</t>
        </is>
      </c>
      <c r="D469" s="3" t="n">
        <v>13.78</v>
      </c>
      <c r="E469" s="3" t="n">
        <v>7.49</v>
      </c>
      <c r="F469" s="3" t="n">
        <v>7.28</v>
      </c>
      <c r="G469" s="3" t="n">
        <v>17.96</v>
      </c>
      <c r="H469" s="3" t="n">
        <v>12.84</v>
      </c>
      <c r="I469" s="3" t="n">
        <v>12.08</v>
      </c>
      <c r="J469" s="4">
        <f>IF(OR(D469="",G469=""),"",G469-D469)</f>
        <v/>
      </c>
      <c r="K469" s="4">
        <f>IF(OR(E469="",H469=""),"",H469-E469)</f>
        <v/>
      </c>
      <c r="L469" s="4">
        <f>IF(OR(F469="",I469=""),"",I469-F469)</f>
        <v/>
      </c>
      <c r="M469" s="3" t="n">
        <v>0.72</v>
      </c>
      <c r="N469" s="3" t="n">
        <v>2</v>
      </c>
      <c r="O469" s="3" t="n">
        <v>1.28</v>
      </c>
      <c r="P469" s="3" t="n">
        <v>27.01</v>
      </c>
      <c r="Q469" s="3" t="n">
        <v>90.90000000000001</v>
      </c>
      <c r="R469" s="3" t="n">
        <v>0</v>
      </c>
      <c r="S469" s="3">
        <f>IF(OR(Q469="",R469="",Q469=0),"",R469/Q469*100)</f>
        <v/>
      </c>
    </row>
    <row r="470" ht="16" customHeight="1">
      <c r="A470" s="2" t="inlineStr">
        <is>
          <t>8155</t>
        </is>
      </c>
      <c r="B470" s="2" t="inlineStr">
        <is>
          <t>博智</t>
        </is>
      </c>
      <c r="C470" s="2" t="inlineStr">
        <is>
          <t>電子零組件業</t>
        </is>
      </c>
      <c r="D470" s="3" t="n">
        <v>24.05</v>
      </c>
      <c r="E470" s="3" t="n">
        <v>14.07</v>
      </c>
      <c r="F470" s="3" t="n">
        <v>12.7</v>
      </c>
      <c r="G470" s="3" t="n">
        <v>23.81</v>
      </c>
      <c r="H470" s="3" t="n">
        <v>14.72</v>
      </c>
      <c r="I470" s="3" t="n">
        <v>12.96</v>
      </c>
      <c r="J470" s="4">
        <f>IF(OR(D470="",G470=""),"",G470-D470)</f>
        <v/>
      </c>
      <c r="K470" s="4">
        <f>IF(OR(E470="",H470=""),"",H470-E470)</f>
        <v/>
      </c>
      <c r="L470" s="4">
        <f>IF(OR(F470="",I470=""),"",I470-F470)</f>
        <v/>
      </c>
      <c r="M470" s="3" t="n">
        <v>3.29</v>
      </c>
      <c r="N470" s="3" t="n">
        <v>6.77</v>
      </c>
      <c r="O470" s="3" t="n">
        <v>3.48</v>
      </c>
      <c r="P470" s="3" t="n">
        <v>27.63</v>
      </c>
      <c r="Q470" s="3" t="n">
        <v>275</v>
      </c>
      <c r="R470" s="3" t="n">
        <v>3.89</v>
      </c>
      <c r="S470" s="3">
        <f>IF(OR(Q470="",R470="",Q470=0),"",R470/Q470*100)</f>
        <v/>
      </c>
    </row>
    <row r="471" ht="16" customHeight="1">
      <c r="A471" s="2" t="inlineStr">
        <is>
          <t>8210</t>
        </is>
      </c>
      <c r="B471" s="2" t="inlineStr">
        <is>
          <t>勤誠</t>
        </is>
      </c>
      <c r="C471" s="2" t="inlineStr">
        <is>
          <t>電子工業</t>
        </is>
      </c>
      <c r="D471" s="3" t="n">
        <v>32.83</v>
      </c>
      <c r="E471" s="3" t="n">
        <v>25.03</v>
      </c>
      <c r="F471" s="3" t="n">
        <v>19.21</v>
      </c>
      <c r="G471" s="3" t="n">
        <v>32.65</v>
      </c>
      <c r="H471" s="3" t="n">
        <v>24.63</v>
      </c>
      <c r="I471" s="3" t="n">
        <v>17.95</v>
      </c>
      <c r="J471" s="4">
        <f>IF(OR(D471="",G471=""),"",G471-D471)</f>
        <v/>
      </c>
      <c r="K471" s="4">
        <f>IF(OR(E471="",H471=""),"",H471-E471)</f>
        <v/>
      </c>
      <c r="L471" s="4">
        <f>IF(OR(F471="",I471=""),"",I471-F471)</f>
        <v/>
      </c>
      <c r="M471" s="3" t="n">
        <v>10.73</v>
      </c>
      <c r="N471" s="3" t="n">
        <v>21.77</v>
      </c>
      <c r="O471" s="3" t="n">
        <v>11.04</v>
      </c>
      <c r="P471" s="3" t="n">
        <v>25.27</v>
      </c>
      <c r="Q471" s="3" t="n">
        <v>716</v>
      </c>
      <c r="R471" s="3" t="n">
        <v>14</v>
      </c>
      <c r="S471" s="3">
        <f>IF(OR(Q471="",R471="",Q471=0),"",R471/Q471*100)</f>
        <v/>
      </c>
    </row>
    <row r="472" ht="16" customHeight="1">
      <c r="A472" s="2" t="inlineStr">
        <is>
          <t>8255</t>
        </is>
      </c>
      <c r="B472" s="2" t="inlineStr">
        <is>
          <t>朋程</t>
        </is>
      </c>
      <c r="C472" s="2" t="inlineStr">
        <is>
          <t>電機機械</t>
        </is>
      </c>
      <c r="D472" s="3" t="n">
        <v>26.94</v>
      </c>
      <c r="E472" s="3" t="n">
        <v>6.39</v>
      </c>
      <c r="F472" s="3" t="n">
        <v>6.65</v>
      </c>
      <c r="G472" s="3" t="n">
        <v>26.98</v>
      </c>
      <c r="H472" s="3" t="n">
        <v>6.38</v>
      </c>
      <c r="I472" s="3" t="n">
        <v>6.24</v>
      </c>
      <c r="J472" s="4">
        <f>IF(OR(D472="",G472=""),"",G472-D472)</f>
        <v/>
      </c>
      <c r="K472" s="4">
        <f>IF(OR(E472="",H472=""),"",H472-E472)</f>
        <v/>
      </c>
      <c r="L472" s="4">
        <f>IF(OR(F472="",I472=""),"",I472-F472)</f>
        <v/>
      </c>
      <c r="M472" s="3" t="n">
        <v>1.7</v>
      </c>
      <c r="N472" s="3" t="n">
        <v>3.14</v>
      </c>
      <c r="O472" s="3" t="n">
        <v>1.44</v>
      </c>
      <c r="P472" s="3" t="n">
        <v>22.07</v>
      </c>
      <c r="Q472" s="3" t="n">
        <v>131</v>
      </c>
      <c r="R472" s="3" t="n">
        <v>3.5</v>
      </c>
      <c r="S472" s="3">
        <f>IF(OR(Q472="",R472="",Q472=0),"",R472/Q472*100)</f>
        <v/>
      </c>
    </row>
    <row r="473" ht="16" customHeight="1">
      <c r="A473" s="2" t="inlineStr">
        <is>
          <t>8261</t>
        </is>
      </c>
      <c r="B473" s="2" t="inlineStr">
        <is>
          <t>富鼎</t>
        </is>
      </c>
      <c r="C473" s="2" t="inlineStr">
        <is>
          <t>半導體</t>
        </is>
      </c>
      <c r="D473" s="3" t="n">
        <v>38.07</v>
      </c>
      <c r="E473" s="3" t="n">
        <v>25.66</v>
      </c>
      <c r="F473" s="3" t="n">
        <v>23.9</v>
      </c>
      <c r="G473" s="3" t="n">
        <v>34.23</v>
      </c>
      <c r="H473" s="3" t="n">
        <v>22.31</v>
      </c>
      <c r="I473" s="3" t="n">
        <v>20.41</v>
      </c>
      <c r="J473" s="4">
        <f>IF(OR(D473="",G473=""),"",G473-D473)</f>
        <v/>
      </c>
      <c r="K473" s="4">
        <f>IF(OR(E473="",H473=""),"",H473-E473)</f>
        <v/>
      </c>
      <c r="L473" s="4">
        <f>IF(OR(F473="",I473=""),"",I473-F473)</f>
        <v/>
      </c>
      <c r="M473" s="3" t="n">
        <v>1.57</v>
      </c>
      <c r="N473" s="3" t="n">
        <v>3.08</v>
      </c>
      <c r="O473" s="3" t="n">
        <v>1.51</v>
      </c>
      <c r="P473" s="3" t="n">
        <v>26.61</v>
      </c>
      <c r="Q473" s="3" t="n">
        <v>139.5</v>
      </c>
      <c r="R473" s="3" t="n"/>
      <c r="S473" s="3">
        <f>IF(OR(Q473="",R473="",Q473=0),"",R473/Q473*100)</f>
        <v/>
      </c>
    </row>
    <row r="474" ht="16" customHeight="1">
      <c r="A474" s="2" t="inlineStr">
        <is>
          <t>8271</t>
        </is>
      </c>
      <c r="B474" s="2" t="inlineStr">
        <is>
          <t>宇瞻</t>
        </is>
      </c>
      <c r="C474" s="2" t="inlineStr">
        <is>
          <t>半導體</t>
        </is>
      </c>
      <c r="D474" s="3" t="n">
        <v>49.27</v>
      </c>
      <c r="E474" s="3" t="n">
        <v>32.85</v>
      </c>
      <c r="F474" s="3" t="n">
        <v>26.63</v>
      </c>
      <c r="G474" s="3" t="n">
        <v>51.25</v>
      </c>
      <c r="H474" s="3" t="n">
        <v>36.11</v>
      </c>
      <c r="I474" s="3" t="n">
        <v>28.71</v>
      </c>
      <c r="J474" s="4">
        <f>IF(OR(D474="",G474=""),"",G474-D474)</f>
        <v/>
      </c>
      <c r="K474" s="4">
        <f>IF(OR(E474="",H474=""),"",H474-E474)</f>
        <v/>
      </c>
      <c r="L474" s="4">
        <f>IF(OR(F474="",I474=""),"",I474-F474)</f>
        <v/>
      </c>
      <c r="M474" s="3" t="n">
        <v>14.54</v>
      </c>
      <c r="N474" s="3" t="n">
        <v>35.47</v>
      </c>
      <c r="O474" s="3" t="n">
        <v>20.93</v>
      </c>
      <c r="P474" s="3" t="n">
        <v>5.78</v>
      </c>
      <c r="Q474" s="3" t="n">
        <v>181.5</v>
      </c>
      <c r="R474" s="3" t="n">
        <v>4.448</v>
      </c>
      <c r="S474" s="3">
        <f>IF(OR(Q474="",R474="",Q474=0),"",R474/Q474*100)</f>
        <v/>
      </c>
    </row>
    <row r="475" ht="16" customHeight="1">
      <c r="A475" s="2" t="inlineStr">
        <is>
          <t>8299</t>
        </is>
      </c>
      <c r="B475" s="2" t="inlineStr">
        <is>
          <t>群聯</t>
        </is>
      </c>
      <c r="C475" s="2" t="inlineStr">
        <is>
          <t>其他</t>
        </is>
      </c>
      <c r="D475" s="3" t="n">
        <v>61.82</v>
      </c>
      <c r="E475" s="3" t="n">
        <v>36.23</v>
      </c>
      <c r="F475" s="3" t="n">
        <v>37.04</v>
      </c>
      <c r="G475" s="3" t="n">
        <v>65.34999999999999</v>
      </c>
      <c r="H475" s="3" t="n">
        <v>38.84</v>
      </c>
      <c r="I475" s="3" t="n">
        <v>38.62</v>
      </c>
      <c r="J475" s="4">
        <f>IF(OR(D475="",G475=""),"",G475-D475)</f>
        <v/>
      </c>
      <c r="K475" s="4">
        <f>IF(OR(E475="",H475=""),"",H475-E475)</f>
        <v/>
      </c>
      <c r="L475" s="4">
        <f>IF(OR(F475="",I475=""),"",I475-F475)</f>
        <v/>
      </c>
      <c r="M475" s="3" t="n">
        <v>68.8</v>
      </c>
      <c r="N475" s="3" t="n">
        <v>187.67</v>
      </c>
      <c r="O475" s="3" t="n">
        <v>118.87</v>
      </c>
      <c r="P475" s="3" t="n"/>
      <c r="Q475" s="3" t="n">
        <v>1930</v>
      </c>
      <c r="R475" s="3" t="n">
        <v>16.96</v>
      </c>
      <c r="S475" s="3">
        <f>IF(OR(Q475="",R475="",Q475=0),"",R475/Q475*100)</f>
        <v/>
      </c>
    </row>
    <row r="476" ht="16" customHeight="1">
      <c r="A476" s="2" t="inlineStr">
        <is>
          <t>8358</t>
        </is>
      </c>
      <c r="B476" s="2" t="inlineStr">
        <is>
          <t>金居</t>
        </is>
      </c>
      <c r="C476" s="2" t="inlineStr">
        <is>
          <t>電子零組件業</t>
        </is>
      </c>
      <c r="D476" s="3" t="n">
        <v>28.71</v>
      </c>
      <c r="E476" s="3" t="n">
        <v>25.63</v>
      </c>
      <c r="F476" s="3" t="n">
        <v>20.52</v>
      </c>
      <c r="G476" s="3" t="n">
        <v>27.39</v>
      </c>
      <c r="H476" s="3" t="n">
        <v>24.42</v>
      </c>
      <c r="I476" s="3" t="n">
        <v>19.43</v>
      </c>
      <c r="J476" s="4">
        <f>IF(OR(D476="",G476=""),"",G476-D476)</f>
        <v/>
      </c>
      <c r="K476" s="4">
        <f>IF(OR(E476="",H476=""),"",H476-E476)</f>
        <v/>
      </c>
      <c r="L476" s="4">
        <f>IF(OR(F476="",I476=""),"",I476-F476)</f>
        <v/>
      </c>
      <c r="M476" s="3" t="n">
        <v>2.06</v>
      </c>
      <c r="N476" s="3" t="n">
        <v>4.22</v>
      </c>
      <c r="O476" s="3" t="n">
        <v>2.16</v>
      </c>
      <c r="P476" s="3" t="n">
        <v>63.86</v>
      </c>
      <c r="Q476" s="3" t="n">
        <v>405</v>
      </c>
      <c r="R476" s="3" t="n">
        <v>2</v>
      </c>
      <c r="S476" s="3">
        <f>IF(OR(Q476="",R476="",Q476=0),"",R476/Q476*100)</f>
        <v/>
      </c>
    </row>
    <row r="477" ht="16" customHeight="1">
      <c r="A477" s="2" t="inlineStr">
        <is>
          <t>8415</t>
        </is>
      </c>
      <c r="B477" s="2" t="inlineStr">
        <is>
          <t>大國鋼</t>
        </is>
      </c>
      <c r="C477" s="2" t="inlineStr">
        <is>
          <t>鋼鐵工業</t>
        </is>
      </c>
      <c r="D477" s="3" t="n">
        <v>39.07</v>
      </c>
      <c r="E477" s="3" t="n">
        <v>20.89</v>
      </c>
      <c r="F477" s="3" t="n">
        <v>15.92</v>
      </c>
      <c r="G477" s="3" t="n">
        <v>39.93</v>
      </c>
      <c r="H477" s="3" t="n">
        <v>22.71</v>
      </c>
      <c r="I477" s="3" t="n">
        <v>15.45</v>
      </c>
      <c r="J477" s="4">
        <f>IF(OR(D477="",G477=""),"",G477-D477)</f>
        <v/>
      </c>
      <c r="K477" s="4">
        <f>IF(OR(E477="",H477=""),"",H477-E477)</f>
        <v/>
      </c>
      <c r="L477" s="4">
        <f>IF(OR(F477="",I477=""),"",I477-F477)</f>
        <v/>
      </c>
      <c r="M477" s="3" t="n">
        <v>1.03</v>
      </c>
      <c r="N477" s="3" t="n">
        <v>2.16</v>
      </c>
      <c r="O477" s="3" t="n">
        <v>1.13</v>
      </c>
      <c r="P477" s="3" t="n">
        <v>9.449999999999999</v>
      </c>
      <c r="Q477" s="3" t="n">
        <v>35.9</v>
      </c>
      <c r="R477" s="3" t="n">
        <v>1.5</v>
      </c>
      <c r="S477" s="3">
        <f>IF(OR(Q477="",R477="",Q477=0),"",R477/Q477*100)</f>
        <v/>
      </c>
    </row>
    <row r="478" ht="16" customHeight="1">
      <c r="A478" s="2" t="inlineStr">
        <is>
          <t>8422</t>
        </is>
      </c>
      <c r="B478" s="2" t="inlineStr">
        <is>
          <t>可寧衛</t>
        </is>
      </c>
      <c r="C478" s="2" t="inlineStr">
        <is>
          <t>其他</t>
        </is>
      </c>
      <c r="D478" s="3" t="n">
        <v>48.21</v>
      </c>
      <c r="E478" s="3" t="n">
        <v>34.38</v>
      </c>
      <c r="F478" s="3" t="n">
        <v>23</v>
      </c>
      <c r="G478" s="3" t="n">
        <v>31.74</v>
      </c>
      <c r="H478" s="3" t="n">
        <v>24.37</v>
      </c>
      <c r="I478" s="3" t="n">
        <v>18.67</v>
      </c>
      <c r="J478" s="4">
        <f>IF(OR(D478="",G478=""),"",G478-D478)</f>
        <v/>
      </c>
      <c r="K478" s="4">
        <f>IF(OR(E478="",H478=""),"",H478-E478)</f>
        <v/>
      </c>
      <c r="L478" s="4">
        <f>IF(OR(F478="",I478=""),"",I478-F478)</f>
        <v/>
      </c>
      <c r="M478" s="3" t="n">
        <v>0.21</v>
      </c>
      <c r="N478" s="3" t="n">
        <v>0.55</v>
      </c>
      <c r="O478" s="3" t="n">
        <v>0.34</v>
      </c>
      <c r="P478" s="3" t="n">
        <v>27.97</v>
      </c>
      <c r="Q478" s="3" t="n">
        <v>24.7</v>
      </c>
      <c r="R478" s="3" t="n">
        <v>1.198</v>
      </c>
      <c r="S478" s="3">
        <f>IF(OR(Q478="",R478="",Q478=0),"",R478/Q478*100)</f>
        <v/>
      </c>
    </row>
    <row r="479" ht="16" customHeight="1">
      <c r="A479" s="2" t="inlineStr">
        <is>
          <t>8454</t>
        </is>
      </c>
      <c r="B479" s="2" t="inlineStr">
        <is>
          <t>富邦媒</t>
        </is>
      </c>
      <c r="C479" s="2" t="inlineStr">
        <is>
          <t>貿易百貨</t>
        </is>
      </c>
      <c r="D479" s="3" t="n">
        <v>9.050000000000001</v>
      </c>
      <c r="E479" s="3" t="n">
        <v>2.97</v>
      </c>
      <c r="F479" s="3" t="n">
        <v>2.43</v>
      </c>
      <c r="G479" s="3" t="n">
        <v>9.220000000000001</v>
      </c>
      <c r="H479" s="3" t="n">
        <v>2.93</v>
      </c>
      <c r="I479" s="3" t="n">
        <v>2.33</v>
      </c>
      <c r="J479" s="4">
        <f>IF(OR(D479="",G479=""),"",G479-D479)</f>
        <v/>
      </c>
      <c r="K479" s="4">
        <f>IF(OR(E479="",H479=""),"",H479-E479)</f>
        <v/>
      </c>
      <c r="L479" s="4">
        <f>IF(OR(F479="",I479=""),"",I479-F479)</f>
        <v/>
      </c>
      <c r="M479" s="3" t="n">
        <v>2.43</v>
      </c>
      <c r="N479" s="3" t="n">
        <v>4.81</v>
      </c>
      <c r="O479" s="3" t="n">
        <v>2.38</v>
      </c>
      <c r="P479" s="3" t="n">
        <v>25.26</v>
      </c>
      <c r="Q479" s="3" t="n">
        <v>247</v>
      </c>
      <c r="R479" s="3" t="n">
        <v>10</v>
      </c>
      <c r="S479" s="3">
        <f>IF(OR(Q479="",R479="",Q479=0),"",R479/Q479*100)</f>
        <v/>
      </c>
    </row>
    <row r="480" ht="16" customHeight="1">
      <c r="A480" s="2" t="inlineStr">
        <is>
          <t>8464</t>
        </is>
      </c>
      <c r="B480" s="2" t="inlineStr">
        <is>
          <t>億豐</t>
        </is>
      </c>
      <c r="C480" s="2" t="inlineStr">
        <is>
          <t>其他</t>
        </is>
      </c>
      <c r="D480" s="3" t="n">
        <v>59.09</v>
      </c>
      <c r="E480" s="3" t="n">
        <v>28.11</v>
      </c>
      <c r="F480" s="3" t="n">
        <v>23.7</v>
      </c>
      <c r="G480" s="3" t="n">
        <v>59.95</v>
      </c>
      <c r="H480" s="3" t="n">
        <v>27.25</v>
      </c>
      <c r="I480" s="3" t="n">
        <v>18.74</v>
      </c>
      <c r="J480" s="4">
        <f>IF(OR(D480="",G480=""),"",G480-D480)</f>
        <v/>
      </c>
      <c r="K480" s="4">
        <f>IF(OR(E480="",H480=""),"",H480-E480)</f>
        <v/>
      </c>
      <c r="L480" s="4">
        <f>IF(OR(F480="",I480=""),"",I480-F480)</f>
        <v/>
      </c>
      <c r="M480" s="3" t="n">
        <v>5.62</v>
      </c>
      <c r="N480" s="3" t="n">
        <v>10.44</v>
      </c>
      <c r="O480" s="3" t="n">
        <v>4.82</v>
      </c>
      <c r="P480" s="3" t="n">
        <v>16.47</v>
      </c>
      <c r="Q480" s="3" t="n">
        <v>370</v>
      </c>
      <c r="R480" s="3" t="n">
        <v>16</v>
      </c>
      <c r="S480" s="3">
        <f>IF(OR(Q480="",R480="",Q480=0),"",R480/Q480*100)</f>
        <v/>
      </c>
    </row>
    <row r="481" ht="16" customHeight="1">
      <c r="A481" s="2" t="inlineStr">
        <is>
          <t>8478</t>
        </is>
      </c>
      <c r="B481" s="2" t="inlineStr">
        <is>
          <t>東哥遊艇</t>
        </is>
      </c>
      <c r="C481" s="2" t="inlineStr">
        <is>
          <t>運動休閒</t>
        </is>
      </c>
      <c r="D481" s="3" t="n">
        <v>42.63</v>
      </c>
      <c r="E481" s="3" t="n">
        <v>25.82</v>
      </c>
      <c r="F481" s="3" t="n">
        <v>24.97</v>
      </c>
      <c r="G481" s="3" t="n">
        <v>36.54</v>
      </c>
      <c r="H481" s="3" t="n">
        <v>22.3</v>
      </c>
      <c r="I481" s="3" t="n">
        <v>20.9</v>
      </c>
      <c r="J481" s="4">
        <f>IF(OR(D481="",G481=""),"",G481-D481)</f>
        <v/>
      </c>
      <c r="K481" s="4">
        <f>IF(OR(E481="",H481=""),"",H481-E481)</f>
        <v/>
      </c>
      <c r="L481" s="4">
        <f>IF(OR(F481="",I481=""),"",I481-F481)</f>
        <v/>
      </c>
      <c r="M481" s="3" t="n">
        <v>3.8</v>
      </c>
      <c r="N481" s="3" t="n">
        <v>6.35</v>
      </c>
      <c r="O481" s="3" t="n">
        <v>2.55</v>
      </c>
      <c r="P481" s="3" t="n">
        <v>9.94</v>
      </c>
      <c r="Q481" s="3" t="n">
        <v>135</v>
      </c>
      <c r="R481" s="3" t="n">
        <v>6.5</v>
      </c>
      <c r="S481" s="3">
        <f>IF(OR(Q481="",R481="",Q481=0),"",R481/Q481*100)</f>
        <v/>
      </c>
    </row>
    <row r="482" ht="16" customHeight="1">
      <c r="A482" s="2" t="inlineStr">
        <is>
          <t>8926</t>
        </is>
      </c>
      <c r="B482" s="2" t="inlineStr">
        <is>
          <t>台汽電</t>
        </is>
      </c>
      <c r="C482" s="2" t="inlineStr">
        <is>
          <t>油電燃氣</t>
        </is>
      </c>
      <c r="D482" s="3" t="n">
        <v>8.52</v>
      </c>
      <c r="E482" s="3" t="n">
        <v>8.449999999999999</v>
      </c>
      <c r="F482" s="3" t="n">
        <v>13.02</v>
      </c>
      <c r="G482" s="3" t="n">
        <v>9.1</v>
      </c>
      <c r="H482" s="3" t="n">
        <v>8</v>
      </c>
      <c r="I482" s="3" t="n">
        <v>6.69</v>
      </c>
      <c r="J482" s="4">
        <f>IF(OR(D482="",G482=""),"",G482-D482)</f>
        <v/>
      </c>
      <c r="K482" s="4">
        <f>IF(OR(E482="",H482=""),"",H482-E482)</f>
        <v/>
      </c>
      <c r="L482" s="4">
        <f>IF(OR(F482="",I482=""),"",I482-F482)</f>
        <v/>
      </c>
      <c r="M482" s="3" t="n">
        <v>2.11</v>
      </c>
      <c r="N482" s="3" t="n">
        <v>3.29</v>
      </c>
      <c r="O482" s="3" t="n">
        <v>1.18</v>
      </c>
      <c r="P482" s="3" t="n">
        <v>15.74</v>
      </c>
      <c r="Q482" s="3" t="n">
        <v>56.5</v>
      </c>
      <c r="R482" s="3" t="n">
        <v>2.12</v>
      </c>
      <c r="S482" s="3">
        <f>IF(OR(Q482="",R482="",Q482=0),"",R482/Q482*100)</f>
        <v/>
      </c>
    </row>
    <row r="483" ht="16" customHeight="1">
      <c r="A483" s="2" t="inlineStr">
        <is>
          <t>8932</t>
        </is>
      </c>
      <c r="B483" s="2" t="inlineStr">
        <is>
          <t>智通</t>
        </is>
      </c>
      <c r="C483" s="2" t="inlineStr">
        <is>
          <t>其他</t>
        </is>
      </c>
      <c r="D483" s="3" t="n">
        <v>61.19</v>
      </c>
      <c r="E483" s="3" t="n">
        <v>45.05</v>
      </c>
      <c r="F483" s="3" t="n">
        <v>34.81</v>
      </c>
      <c r="G483" s="3" t="n">
        <v>60.75</v>
      </c>
      <c r="H483" s="3" t="n">
        <v>44.08</v>
      </c>
      <c r="I483" s="3" t="n">
        <v>31.77</v>
      </c>
      <c r="J483" s="4">
        <f>IF(OR(D483="",G483=""),"",G483-D483)</f>
        <v/>
      </c>
      <c r="K483" s="4">
        <f>IF(OR(E483="",H483=""),"",H483-E483)</f>
        <v/>
      </c>
      <c r="L483" s="4">
        <f>IF(OR(F483="",I483=""),"",I483-F483)</f>
        <v/>
      </c>
      <c r="M483" s="3" t="n">
        <v>0.53</v>
      </c>
      <c r="N483" s="3" t="n">
        <v>1.08</v>
      </c>
      <c r="O483" s="3" t="n">
        <v>0.55</v>
      </c>
      <c r="P483" s="3" t="n">
        <v>51.18</v>
      </c>
      <c r="Q483" s="3" t="n">
        <v>88.7</v>
      </c>
      <c r="R483" s="3" t="n">
        <v>0.72</v>
      </c>
      <c r="S483" s="3">
        <f>IF(OR(Q483="",R483="",Q483=0),"",R483/Q483*100)</f>
        <v/>
      </c>
    </row>
    <row r="484" ht="16" customHeight="1">
      <c r="A484" s="2" t="inlineStr">
        <is>
          <t>8996</t>
        </is>
      </c>
      <c r="B484" s="2" t="inlineStr">
        <is>
          <t>高力</t>
        </is>
      </c>
      <c r="C484" s="2" t="inlineStr">
        <is>
          <t>電機機械</t>
        </is>
      </c>
      <c r="D484" s="3" t="n">
        <v>29.02</v>
      </c>
      <c r="E484" s="3" t="n">
        <v>20.71</v>
      </c>
      <c r="F484" s="3" t="n">
        <v>17.69</v>
      </c>
      <c r="G484" s="3" t="n">
        <v>26</v>
      </c>
      <c r="H484" s="3" t="n">
        <v>12.94</v>
      </c>
      <c r="I484" s="3" t="n">
        <v>8.710000000000001</v>
      </c>
      <c r="J484" s="4">
        <f>IF(OR(D484="",G484=""),"",G484-D484)</f>
        <v/>
      </c>
      <c r="K484" s="4">
        <f>IF(OR(E484="",H484=""),"",H484-E484)</f>
        <v/>
      </c>
      <c r="L484" s="4">
        <f>IF(OR(F484="",I484=""),"",I484-F484)</f>
        <v/>
      </c>
      <c r="M484" s="3" t="n">
        <v>6.54</v>
      </c>
      <c r="N484" s="3" t="n">
        <v>8.710000000000001</v>
      </c>
      <c r="O484" s="3" t="n">
        <v>2.17</v>
      </c>
      <c r="P484" s="3" t="n">
        <v>86.2</v>
      </c>
      <c r="Q484" s="3" t="n">
        <v>1435</v>
      </c>
      <c r="R484" s="3" t="n">
        <v>4.56</v>
      </c>
      <c r="S484" s="3">
        <f>IF(OR(Q484="",R484="",Q484=0),"",R484/Q484*100)</f>
        <v/>
      </c>
    </row>
    <row r="485" ht="16" customHeight="1">
      <c r="A485" s="2" t="inlineStr">
        <is>
          <t>9802</t>
        </is>
      </c>
      <c r="B485" s="2" t="inlineStr">
        <is>
          <t>鈺齊-KY</t>
        </is>
      </c>
      <c r="C485" s="2" t="inlineStr">
        <is>
          <t>運動休閒</t>
        </is>
      </c>
      <c r="D485" s="3" t="n">
        <v>15.85</v>
      </c>
      <c r="E485" s="3" t="n">
        <v>5.13</v>
      </c>
      <c r="F485" s="3" t="n">
        <v>4.84</v>
      </c>
      <c r="G485" s="3" t="n">
        <v>13.94</v>
      </c>
      <c r="H485" s="3" t="n">
        <v>4.97</v>
      </c>
      <c r="I485" s="3" t="n">
        <v>3.4</v>
      </c>
      <c r="J485" s="4">
        <f>IF(OR(D485="",G485=""),"",G485-D485)</f>
        <v/>
      </c>
      <c r="K485" s="4">
        <f>IF(OR(E485="",H485=""),"",H485-E485)</f>
        <v/>
      </c>
      <c r="L485" s="4">
        <f>IF(OR(F485="",I485=""),"",I485-F485)</f>
        <v/>
      </c>
      <c r="M485" s="3" t="n">
        <v>0.89</v>
      </c>
      <c r="N485" s="3" t="n">
        <v>1.78</v>
      </c>
      <c r="O485" s="3" t="n">
        <v>0.89</v>
      </c>
      <c r="P485" s="3" t="n">
        <v>14.1</v>
      </c>
      <c r="Q485" s="3" t="n">
        <v>61.2</v>
      </c>
      <c r="R485" s="3" t="n">
        <v>2</v>
      </c>
      <c r="S485" s="3">
        <f>IF(OR(Q485="",R485="",Q485=0),"",R485/Q485*100)</f>
        <v/>
      </c>
    </row>
    <row r="486" ht="16" customHeight="1">
      <c r="A486" s="2" t="inlineStr">
        <is>
          <t>9904</t>
        </is>
      </c>
      <c r="B486" s="2" t="inlineStr">
        <is>
          <t>寶成</t>
        </is>
      </c>
      <c r="C486" s="2" t="inlineStr">
        <is>
          <t>其他</t>
        </is>
      </c>
      <c r="D486" s="3" t="n">
        <v>22.14</v>
      </c>
      <c r="E486" s="3" t="n">
        <v>3.16</v>
      </c>
      <c r="F486" s="3" t="n">
        <v>4.86</v>
      </c>
      <c r="G486" s="3" t="n">
        <v>20.04</v>
      </c>
      <c r="H486" s="3" t="n">
        <v>1.35</v>
      </c>
      <c r="I486" s="3" t="n">
        <v>8.539999999999999</v>
      </c>
      <c r="J486" s="4">
        <f>IF(OR(D486="",G486=""),"",G486-D486)</f>
        <v/>
      </c>
      <c r="K486" s="4">
        <f>IF(OR(E486="",H486=""),"",H486-E486)</f>
        <v/>
      </c>
      <c r="L486" s="4">
        <f>IF(OR(F486="",I486=""),"",I486-F486)</f>
        <v/>
      </c>
      <c r="M486" s="3" t="n">
        <v>0.76</v>
      </c>
      <c r="N486" s="3" t="n">
        <v>2.09</v>
      </c>
      <c r="O486" s="3" t="n">
        <v>1.33</v>
      </c>
      <c r="P486" s="3" t="n">
        <v>5.35</v>
      </c>
      <c r="Q486" s="3" t="n">
        <v>25.8</v>
      </c>
      <c r="R486" s="3" t="n">
        <v>1.3</v>
      </c>
      <c r="S486" s="3">
        <f>IF(OR(Q486="",R486="",Q486=0),"",R486/Q486*100)</f>
        <v/>
      </c>
    </row>
    <row r="487" ht="16" customHeight="1">
      <c r="A487" s="2" t="inlineStr">
        <is>
          <t>9907</t>
        </is>
      </c>
      <c r="B487" s="2" t="inlineStr">
        <is>
          <t>統一實</t>
        </is>
      </c>
      <c r="C487" s="2" t="inlineStr">
        <is>
          <t>其他</t>
        </is>
      </c>
      <c r="D487" s="3" t="n">
        <v>10.71</v>
      </c>
      <c r="E487" s="3" t="n">
        <v>3.84</v>
      </c>
      <c r="F487" s="3" t="n">
        <v>2.32</v>
      </c>
      <c r="G487" s="3" t="n">
        <v>10.84</v>
      </c>
      <c r="H487" s="3" t="n">
        <v>4.77</v>
      </c>
      <c r="I487" s="3" t="n">
        <v>2.52</v>
      </c>
      <c r="J487" s="4">
        <f>IF(OR(D487="",G487=""),"",G487-D487)</f>
        <v/>
      </c>
      <c r="K487" s="4">
        <f>IF(OR(E487="",H487=""),"",H487-E487)</f>
        <v/>
      </c>
      <c r="L487" s="4">
        <f>IF(OR(F487="",I487=""),"",I487-F487)</f>
        <v/>
      </c>
      <c r="M487" s="3" t="n">
        <v>0.17</v>
      </c>
      <c r="N487" s="3" t="n">
        <v>0.35</v>
      </c>
      <c r="O487" s="3" t="n">
        <v>0.18</v>
      </c>
      <c r="P487" s="3" t="n">
        <v>16.11</v>
      </c>
      <c r="Q487" s="3" t="n">
        <v>14.7</v>
      </c>
      <c r="R487" s="3" t="n">
        <v>1.18</v>
      </c>
      <c r="S487" s="3">
        <f>IF(OR(Q487="",R487="",Q487=0),"",R487/Q487*100)</f>
        <v/>
      </c>
    </row>
    <row r="488" ht="16" customHeight="1">
      <c r="A488" s="2" t="inlineStr">
        <is>
          <t>9908</t>
        </is>
      </c>
      <c r="B488" s="2" t="inlineStr">
        <is>
          <t>大台北</t>
        </is>
      </c>
      <c r="C488" s="2" t="inlineStr">
        <is>
          <t>油電燃氣</t>
        </is>
      </c>
      <c r="D488" s="3" t="n">
        <v>21.44</v>
      </c>
      <c r="E488" s="3" t="n">
        <v>14.36</v>
      </c>
      <c r="F488" s="3" t="n">
        <v>18.01</v>
      </c>
      <c r="G488" s="3" t="n">
        <v>25.08</v>
      </c>
      <c r="H488" s="3" t="n">
        <v>17.23</v>
      </c>
      <c r="I488" s="3" t="n">
        <v>48.91</v>
      </c>
      <c r="J488" s="4">
        <f>IF(OR(D488="",G488=""),"",G488-D488)</f>
        <v/>
      </c>
      <c r="K488" s="4">
        <f>IF(OR(E488="",H488=""),"",H488-E488)</f>
        <v/>
      </c>
      <c r="L488" s="4">
        <f>IF(OR(F488="",I488=""),"",I488-F488)</f>
        <v/>
      </c>
      <c r="M488" s="3" t="n">
        <v>0.33</v>
      </c>
      <c r="N488" s="3" t="n">
        <v>1.1</v>
      </c>
      <c r="O488" s="3" t="n">
        <v>0.77</v>
      </c>
      <c r="P488" s="3" t="n">
        <v>13.9</v>
      </c>
      <c r="Q488" s="3" t="n">
        <v>28.9</v>
      </c>
      <c r="R488" s="3" t="n">
        <v>1.2</v>
      </c>
      <c r="S488" s="3">
        <f>IF(OR(Q488="",R488="",Q488=0),"",R488/Q488*100)</f>
        <v/>
      </c>
    </row>
    <row r="489" ht="16" customHeight="1">
      <c r="A489" s="2" t="inlineStr">
        <is>
          <t>9910</t>
        </is>
      </c>
      <c r="B489" s="2" t="inlineStr">
        <is>
          <t>豐泰</t>
        </is>
      </c>
      <c r="C489" s="2" t="inlineStr">
        <is>
          <t>其他</t>
        </is>
      </c>
      <c r="D489" s="3" t="n">
        <v>17.39</v>
      </c>
      <c r="E489" s="3" t="n">
        <v>4</v>
      </c>
      <c r="F489" s="3" t="n">
        <v>3.48</v>
      </c>
      <c r="G489" s="3" t="n">
        <v>19.43</v>
      </c>
      <c r="H489" s="3" t="n">
        <v>5.92</v>
      </c>
      <c r="I489" s="3" t="n">
        <v>5.07</v>
      </c>
      <c r="J489" s="4">
        <f>IF(OR(D489="",G489=""),"",G489-D489)</f>
        <v/>
      </c>
      <c r="K489" s="4">
        <f>IF(OR(E489="",H489=""),"",H489-E489)</f>
        <v/>
      </c>
      <c r="L489" s="4">
        <f>IF(OR(F489="",I489=""),"",I489-F489)</f>
        <v/>
      </c>
      <c r="M489" s="3" t="n">
        <v>0.68</v>
      </c>
      <c r="N489" s="3" t="n">
        <v>1.73</v>
      </c>
      <c r="O489" s="3" t="n">
        <v>1.05</v>
      </c>
      <c r="P489" s="3" t="n">
        <v>14.11</v>
      </c>
      <c r="Q489" s="3" t="n">
        <v>69.8</v>
      </c>
      <c r="R489" s="3" t="n">
        <v>4.1</v>
      </c>
      <c r="S489" s="3">
        <f>IF(OR(Q489="",R489="",Q489=0),"",R489/Q489*100)</f>
        <v/>
      </c>
    </row>
    <row r="490" ht="16" customHeight="1">
      <c r="A490" s="2" t="inlineStr">
        <is>
          <t>9911</t>
        </is>
      </c>
      <c r="B490" s="2" t="inlineStr">
        <is>
          <t>櫻花</t>
        </is>
      </c>
      <c r="C490" s="2" t="inlineStr">
        <is>
          <t>居家生活</t>
        </is>
      </c>
      <c r="D490" s="3" t="n">
        <v>35.66</v>
      </c>
      <c r="E490" s="3" t="n">
        <v>16.6</v>
      </c>
      <c r="F490" s="3" t="n">
        <v>13.98</v>
      </c>
      <c r="G490" s="3" t="n">
        <v>35.18</v>
      </c>
      <c r="H490" s="3" t="n">
        <v>14.58</v>
      </c>
      <c r="I490" s="3" t="n">
        <v>11.67</v>
      </c>
      <c r="J490" s="4">
        <f>IF(OR(D490="",G490=""),"",G490-D490)</f>
        <v/>
      </c>
      <c r="K490" s="4">
        <f>IF(OR(E490="",H490=""),"",H490-E490)</f>
        <v/>
      </c>
      <c r="L490" s="4">
        <f>IF(OR(F490="",I490=""),"",I490-F490)</f>
        <v/>
      </c>
      <c r="M490" s="3" t="n">
        <v>1.87</v>
      </c>
      <c r="N490" s="3" t="n">
        <v>3.26</v>
      </c>
      <c r="O490" s="3" t="n">
        <v>1.39</v>
      </c>
      <c r="P490" s="3" t="n">
        <v>12.87</v>
      </c>
      <c r="Q490" s="3" t="n">
        <v>78.40000000000001</v>
      </c>
      <c r="R490" s="3" t="n">
        <v>5</v>
      </c>
      <c r="S490" s="3">
        <f>IF(OR(Q490="",R490="",Q490=0),"",R490/Q490*100)</f>
        <v/>
      </c>
    </row>
    <row r="491" ht="16" customHeight="1">
      <c r="A491" s="2" t="inlineStr">
        <is>
          <t>9914</t>
        </is>
      </c>
      <c r="B491" s="2" t="inlineStr">
        <is>
          <t>美利達</t>
        </is>
      </c>
      <c r="C491" s="2" t="inlineStr">
        <is>
          <t>運動休閒</t>
        </is>
      </c>
      <c r="D491" s="3" t="n">
        <v>16.6</v>
      </c>
      <c r="E491" s="3" t="n">
        <v>5.21</v>
      </c>
      <c r="F491" s="3" t="n">
        <v>6.16</v>
      </c>
      <c r="G491" s="3" t="n">
        <v>17.98</v>
      </c>
      <c r="H491" s="3" t="n">
        <v>11.03</v>
      </c>
      <c r="I491" s="3" t="n">
        <v>4.86</v>
      </c>
      <c r="J491" s="4">
        <f>IF(OR(D491="",G491=""),"",G491-D491)</f>
        <v/>
      </c>
      <c r="K491" s="4">
        <f>IF(OR(E491="",H491=""),"",H491-E491)</f>
        <v/>
      </c>
      <c r="L491" s="4">
        <f>IF(OR(F491="",I491=""),"",I491-F491)</f>
        <v/>
      </c>
      <c r="M491" s="3" t="n">
        <v>1.09</v>
      </c>
      <c r="N491" s="3" t="n">
        <v>2.15</v>
      </c>
      <c r="O491" s="3" t="n">
        <v>1.06</v>
      </c>
      <c r="P491" s="3" t="n">
        <v>24.49</v>
      </c>
      <c r="Q491" s="3" t="n">
        <v>61.6</v>
      </c>
      <c r="R491" s="3" t="n">
        <v>2.8</v>
      </c>
      <c r="S491" s="3">
        <f>IF(OR(Q491="",R491="",Q491=0),"",R491/Q491*100)</f>
        <v/>
      </c>
    </row>
    <row r="492" ht="16" customHeight="1">
      <c r="A492" s="2" t="inlineStr">
        <is>
          <t>9917</t>
        </is>
      </c>
      <c r="B492" s="2" t="inlineStr">
        <is>
          <t>中保科</t>
        </is>
      </c>
      <c r="C492" s="2" t="inlineStr">
        <is>
          <t>其他</t>
        </is>
      </c>
      <c r="D492" s="3" t="n">
        <v>33.9</v>
      </c>
      <c r="E492" s="3" t="n">
        <v>17.61</v>
      </c>
      <c r="F492" s="3" t="n">
        <v>15.5</v>
      </c>
      <c r="G492" s="3" t="n">
        <v>32.96</v>
      </c>
      <c r="H492" s="3" t="n">
        <v>17.33</v>
      </c>
      <c r="I492" s="3" t="n">
        <v>16.37</v>
      </c>
      <c r="J492" s="4">
        <f>IF(OR(D492="",G492=""),"",G492-D492)</f>
        <v/>
      </c>
      <c r="K492" s="4">
        <f>IF(OR(E492="",H492=""),"",H492-E492)</f>
        <v/>
      </c>
      <c r="L492" s="4">
        <f>IF(OR(F492="",I492=""),"",I492-F492)</f>
        <v/>
      </c>
      <c r="M492" s="3" t="n">
        <v>1.6</v>
      </c>
      <c r="N492" s="3" t="n">
        <v>3.35</v>
      </c>
      <c r="O492" s="3" t="n">
        <v>1.75</v>
      </c>
      <c r="P492" s="3" t="n">
        <v>15.67</v>
      </c>
      <c r="Q492" s="3" t="n">
        <v>108</v>
      </c>
      <c r="R492" s="3" t="n">
        <v>5.7</v>
      </c>
      <c r="S492" s="3">
        <f>IF(OR(Q492="",R492="",Q492=0),"",R492/Q492*100)</f>
        <v/>
      </c>
    </row>
    <row r="493" ht="16" customHeight="1">
      <c r="A493" s="2" t="inlineStr">
        <is>
          <t>9921</t>
        </is>
      </c>
      <c r="B493" s="2" t="inlineStr">
        <is>
          <t>巨大</t>
        </is>
      </c>
      <c r="C493" s="2" t="inlineStr">
        <is>
          <t>其他</t>
        </is>
      </c>
      <c r="D493" s="3" t="n">
        <v>19.63</v>
      </c>
      <c r="E493" s="3" t="n">
        <v>-1.53</v>
      </c>
      <c r="F493" s="3" t="n">
        <v>-1.17</v>
      </c>
      <c r="G493" s="3" t="n">
        <v>24.24</v>
      </c>
      <c r="H493" s="3" t="n">
        <v>6</v>
      </c>
      <c r="I493" s="3" t="n">
        <v>4.3</v>
      </c>
      <c r="J493" s="4">
        <f>IF(OR(D493="",G493=""),"",G493-D493)</f>
        <v/>
      </c>
      <c r="K493" s="4">
        <f>IF(OR(E493="",H493=""),"",H493-E493)</f>
        <v/>
      </c>
      <c r="L493" s="4">
        <f>IF(OR(F493="",I493=""),"",I493-F493)</f>
        <v/>
      </c>
      <c r="M493" s="3" t="n">
        <v>-0.51</v>
      </c>
      <c r="N493" s="3" t="n">
        <v>1.98</v>
      </c>
      <c r="O493" s="3" t="n">
        <v>2.49</v>
      </c>
      <c r="P493" s="3" t="n">
        <v>68.39</v>
      </c>
      <c r="Q493" s="3" t="n">
        <v>85.7</v>
      </c>
      <c r="R493" s="3" t="n">
        <v>1.819</v>
      </c>
      <c r="S493" s="3">
        <f>IF(OR(Q493="",R493="",Q493=0),"",R493/Q493*100)</f>
        <v/>
      </c>
    </row>
    <row r="494" ht="16" customHeight="1">
      <c r="A494" s="2" t="inlineStr">
        <is>
          <t>9925</t>
        </is>
      </c>
      <c r="B494" s="2" t="inlineStr">
        <is>
          <t>新保</t>
        </is>
      </c>
      <c r="C494" s="2" t="inlineStr">
        <is>
          <t>其他</t>
        </is>
      </c>
      <c r="D494" s="3" t="n">
        <v>32.17</v>
      </c>
      <c r="E494" s="3" t="n">
        <v>10.67</v>
      </c>
      <c r="F494" s="3" t="n">
        <v>8.98</v>
      </c>
      <c r="G494" s="3" t="n">
        <v>31.05</v>
      </c>
      <c r="H494" s="3" t="n">
        <v>8.93</v>
      </c>
      <c r="I494" s="3" t="n">
        <v>28.93</v>
      </c>
      <c r="J494" s="4">
        <f>IF(OR(D494="",G494=""),"",G494-D494)</f>
        <v/>
      </c>
      <c r="K494" s="4">
        <f>IF(OR(E494="",H494=""),"",H494-E494)</f>
        <v/>
      </c>
      <c r="L494" s="4">
        <f>IF(OR(F494="",I494=""),"",I494-F494)</f>
        <v/>
      </c>
      <c r="M494" s="3" t="n">
        <v>0.47</v>
      </c>
      <c r="N494" s="3" t="n">
        <v>1.93</v>
      </c>
      <c r="O494" s="3" t="n">
        <v>1.46</v>
      </c>
      <c r="P494" s="3" t="n">
        <v>13.15</v>
      </c>
      <c r="Q494" s="3" t="n">
        <v>39.55</v>
      </c>
      <c r="R494" s="3" t="n">
        <v>2</v>
      </c>
      <c r="S494" s="3">
        <f>IF(OR(Q494="",R494="",Q494=0),"",R494/Q494*100)</f>
        <v/>
      </c>
    </row>
    <row r="495" ht="16" customHeight="1">
      <c r="A495" s="2" t="inlineStr">
        <is>
          <t>9930</t>
        </is>
      </c>
      <c r="B495" s="2" t="inlineStr">
        <is>
          <t>中聯資源</t>
        </is>
      </c>
      <c r="C495" s="2" t="inlineStr">
        <is>
          <t>其他</t>
        </is>
      </c>
      <c r="D495" s="3" t="n">
        <v>15.01</v>
      </c>
      <c r="E495" s="3" t="n">
        <v>10.6</v>
      </c>
      <c r="F495" s="3" t="n">
        <v>8.48</v>
      </c>
      <c r="G495" s="3" t="n">
        <v>13.47</v>
      </c>
      <c r="H495" s="3" t="n">
        <v>9</v>
      </c>
      <c r="I495" s="3" t="n">
        <v>7.95</v>
      </c>
      <c r="J495" s="4">
        <f>IF(OR(D495="",G495=""),"",G495-D495)</f>
        <v/>
      </c>
      <c r="K495" s="4">
        <f>IF(OR(E495="",H495=""),"",H495-E495)</f>
        <v/>
      </c>
      <c r="L495" s="4">
        <f>IF(OR(F495="",I495=""),"",I495-F495)</f>
        <v/>
      </c>
      <c r="M495" s="3" t="n">
        <v>1.1</v>
      </c>
      <c r="N495" s="3" t="n">
        <v>2.16</v>
      </c>
      <c r="O495" s="3" t="n">
        <v>1.06</v>
      </c>
      <c r="P495" s="3" t="n">
        <v>14.5</v>
      </c>
      <c r="Q495" s="3" t="n">
        <v>58.5</v>
      </c>
      <c r="R495" s="3" t="n">
        <v>4</v>
      </c>
      <c r="S495" s="3">
        <f>IF(OR(Q495="",R495="",Q495=0),"",R495/Q495*100)</f>
        <v/>
      </c>
    </row>
    <row r="496" ht="16" customHeight="1">
      <c r="A496" s="2" t="inlineStr">
        <is>
          <t>9933</t>
        </is>
      </c>
      <c r="B496" s="2" t="inlineStr">
        <is>
          <t>中鼎</t>
        </is>
      </c>
      <c r="C496" s="2" t="inlineStr">
        <is>
          <t>其他</t>
        </is>
      </c>
      <c r="D496" s="3" t="n">
        <v>13.05</v>
      </c>
      <c r="E496" s="3" t="n">
        <v>9.67</v>
      </c>
      <c r="F496" s="3" t="n">
        <v>6.64</v>
      </c>
      <c r="G496" s="3" t="n">
        <v>13.67</v>
      </c>
      <c r="H496" s="3" t="n">
        <v>11.2</v>
      </c>
      <c r="I496" s="3" t="n">
        <v>8.91</v>
      </c>
      <c r="J496" s="4">
        <f>IF(OR(D496="",G496=""),"",G496-D496)</f>
        <v/>
      </c>
      <c r="K496" s="4">
        <f>IF(OR(E496="",H496=""),"",H496-E496)</f>
        <v/>
      </c>
      <c r="L496" s="4">
        <f>IF(OR(F496="",I496=""),"",I496-F496)</f>
        <v/>
      </c>
      <c r="M496" s="3" t="n">
        <v>1</v>
      </c>
      <c r="N496" s="3" t="n">
        <v>2.7</v>
      </c>
      <c r="O496" s="3" t="n">
        <v>1.7</v>
      </c>
      <c r="P496" s="3" t="n">
        <v>7.78</v>
      </c>
      <c r="Q496" s="3" t="n">
        <v>45.3</v>
      </c>
      <c r="R496" s="3" t="n"/>
      <c r="S496" s="3">
        <f>IF(OR(Q496="",R496="",Q496=0),"",R496/Q496*100)</f>
        <v/>
      </c>
    </row>
    <row r="497" ht="16" customHeight="1">
      <c r="A497" s="2" t="inlineStr">
        <is>
          <t>9937</t>
        </is>
      </c>
      <c r="B497" s="2" t="inlineStr">
        <is>
          <t>全國</t>
        </is>
      </c>
      <c r="C497" s="2" t="inlineStr">
        <is>
          <t>油電燃氣業</t>
        </is>
      </c>
      <c r="D497" s="3" t="n">
        <v>13.34</v>
      </c>
      <c r="E497" s="3" t="n">
        <v>4.23</v>
      </c>
      <c r="F497" s="3" t="n">
        <v>3.75</v>
      </c>
      <c r="G497" s="3" t="n">
        <v>10.91</v>
      </c>
      <c r="H497" s="3" t="n">
        <v>3.05</v>
      </c>
      <c r="I497" s="3" t="n">
        <v>3.13</v>
      </c>
      <c r="J497" s="4">
        <f>IF(OR(D497="",G497=""),"",G497-D497)</f>
        <v/>
      </c>
      <c r="K497" s="4">
        <f>IF(OR(E497="",H497=""),"",H497-E497)</f>
        <v/>
      </c>
      <c r="L497" s="4">
        <f>IF(OR(F497="",I497=""),"",I497-F497)</f>
        <v/>
      </c>
      <c r="M497" s="3" t="n">
        <v>0.66</v>
      </c>
      <c r="N497" s="3" t="n">
        <v>1.3</v>
      </c>
      <c r="O497" s="3" t="n">
        <v>0.64</v>
      </c>
      <c r="P497" s="3" t="n">
        <v>21.44</v>
      </c>
      <c r="Q497" s="3" t="n">
        <v>54.8</v>
      </c>
      <c r="R497" s="3" t="n">
        <v>2.2</v>
      </c>
      <c r="S497" s="3">
        <f>IF(OR(Q497="",R497="",Q497=0),"",R497/Q497*100)</f>
        <v/>
      </c>
    </row>
    <row r="498" ht="16" customHeight="1">
      <c r="A498" s="2" t="inlineStr">
        <is>
          <t>9939</t>
        </is>
      </c>
      <c r="B498" s="2" t="inlineStr">
        <is>
          <t>宏全</t>
        </is>
      </c>
      <c r="C498" s="2" t="inlineStr">
        <is>
          <t>其他</t>
        </is>
      </c>
      <c r="D498" s="3" t="n">
        <v>22.34</v>
      </c>
      <c r="E498" s="3" t="n">
        <v>13.21</v>
      </c>
      <c r="F498" s="3" t="n">
        <v>9.85</v>
      </c>
      <c r="G498" s="3" t="n">
        <v>27.41</v>
      </c>
      <c r="H498" s="3" t="n">
        <v>18.61</v>
      </c>
      <c r="I498" s="3" t="n">
        <v>15.1</v>
      </c>
      <c r="J498" s="4">
        <f>IF(OR(D498="",G498=""),"",G498-D498)</f>
        <v/>
      </c>
      <c r="K498" s="4">
        <f>IF(OR(E498="",H498=""),"",H498-E498)</f>
        <v/>
      </c>
      <c r="L498" s="4">
        <f>IF(OR(F498="",I498=""),"",I498-F498)</f>
        <v/>
      </c>
      <c r="M498" s="3" t="n">
        <v>2.25</v>
      </c>
      <c r="N498" s="3" t="n">
        <v>6.55</v>
      </c>
      <c r="O498" s="3" t="n">
        <v>4.3</v>
      </c>
      <c r="P498" s="3" t="n">
        <v>12.18</v>
      </c>
      <c r="Q498" s="3" t="n">
        <v>121.5</v>
      </c>
      <c r="R498" s="3" t="n">
        <v>6.2</v>
      </c>
      <c r="S498" s="3">
        <f>IF(OR(Q498="",R498="",Q498=0),"",R498/Q498*100)</f>
        <v/>
      </c>
    </row>
    <row r="499" ht="16" customHeight="1">
      <c r="A499" s="2" t="inlineStr">
        <is>
          <t>9941</t>
        </is>
      </c>
      <c r="B499" s="2" t="inlineStr">
        <is>
          <t>裕融</t>
        </is>
      </c>
      <c r="C499" s="2" t="inlineStr">
        <is>
          <t>其他</t>
        </is>
      </c>
      <c r="D499" s="3" t="n">
        <v>43.67</v>
      </c>
      <c r="E499" s="3" t="n">
        <v>14.5</v>
      </c>
      <c r="F499" s="3" t="n">
        <v>11.27</v>
      </c>
      <c r="G499" s="3" t="n">
        <v>42.49</v>
      </c>
      <c r="H499" s="3" t="n">
        <v>15.04</v>
      </c>
      <c r="I499" s="3" t="n">
        <v>12.28</v>
      </c>
      <c r="J499" s="4">
        <f>IF(OR(D499="",G499=""),"",G499-D499)</f>
        <v/>
      </c>
      <c r="K499" s="4">
        <f>IF(OR(E499="",H499=""),"",H499-E499)</f>
        <v/>
      </c>
      <c r="L499" s="4">
        <f>IF(OR(F499="",I499=""),"",I499-F499)</f>
        <v/>
      </c>
      <c r="M499" s="3" t="n">
        <v>1.82</v>
      </c>
      <c r="N499" s="3" t="n">
        <v>3.88</v>
      </c>
      <c r="O499" s="3" t="n">
        <v>2.06</v>
      </c>
      <c r="P499" s="3" t="n">
        <v>12.04</v>
      </c>
      <c r="Q499" s="3" t="n">
        <v>77.40000000000001</v>
      </c>
      <c r="R499" s="3" t="n">
        <v>4.38</v>
      </c>
      <c r="S499" s="3">
        <f>IF(OR(Q499="",R499="",Q499=0),"",R499/Q499*100)</f>
        <v/>
      </c>
    </row>
    <row r="500" ht="16" customHeight="1">
      <c r="A500" s="2" t="inlineStr">
        <is>
          <t>9945</t>
        </is>
      </c>
      <c r="B500" s="2" t="inlineStr">
        <is>
          <t>潤泰新</t>
        </is>
      </c>
      <c r="C500" s="2" t="inlineStr">
        <is>
          <t>其他</t>
        </is>
      </c>
      <c r="D500" s="3" t="n">
        <v>24.74</v>
      </c>
      <c r="E500" s="3" t="n">
        <v>17.71</v>
      </c>
      <c r="F500" s="3" t="n">
        <v>36.92</v>
      </c>
      <c r="G500" s="3" t="n">
        <v>27.1</v>
      </c>
      <c r="H500" s="3" t="n">
        <v>21.64</v>
      </c>
      <c r="I500" s="3" t="n">
        <v>58.22</v>
      </c>
      <c r="J500" s="4">
        <f>IF(OR(D500="",G500=""),"",G500-D500)</f>
        <v/>
      </c>
      <c r="K500" s="4">
        <f>IF(OR(E500="",H500=""),"",H500-E500)</f>
        <v/>
      </c>
      <c r="L500" s="4">
        <f>IF(OR(F500="",I500=""),"",I500-F500)</f>
        <v/>
      </c>
      <c r="M500" s="3" t="n">
        <v>0.99</v>
      </c>
      <c r="N500" s="3" t="n">
        <v>3.42</v>
      </c>
      <c r="O500" s="3" t="n">
        <v>2.43</v>
      </c>
      <c r="P500" s="3" t="n">
        <v>5.21</v>
      </c>
      <c r="Q500" s="3" t="n">
        <v>29.05</v>
      </c>
      <c r="R500" s="3" t="n">
        <v>1.1</v>
      </c>
      <c r="S500" s="3">
        <f>IF(OR(Q500="",R500="",Q500=0),"",R500/Q500*100)</f>
        <v/>
      </c>
    </row>
    <row r="501" ht="16" customHeight="1">
      <c r="A501" s="2" t="inlineStr">
        <is>
          <t>9958</t>
        </is>
      </c>
      <c r="B501" s="2" t="inlineStr">
        <is>
          <t>世紀鋼</t>
        </is>
      </c>
      <c r="C501" s="2" t="inlineStr">
        <is>
          <t>鋼鐵工業</t>
        </is>
      </c>
      <c r="D501" s="3" t="n">
        <v>33.19</v>
      </c>
      <c r="E501" s="3" t="n">
        <v>28.83</v>
      </c>
      <c r="F501" s="3" t="n">
        <v>22.69</v>
      </c>
      <c r="G501" s="3" t="n">
        <v>19.98</v>
      </c>
      <c r="H501" s="3" t="n">
        <v>15.86</v>
      </c>
      <c r="I501" s="3" t="n">
        <v>11.76</v>
      </c>
      <c r="J501" s="4">
        <f>IF(OR(D501="",G501=""),"",G501-D501)</f>
        <v/>
      </c>
      <c r="K501" s="4">
        <f>IF(OR(E501="",H501=""),"",H501-E501)</f>
        <v/>
      </c>
      <c r="L501" s="4">
        <f>IF(OR(F501="",I501=""),"",I501-F501)</f>
        <v/>
      </c>
      <c r="M501" s="3" t="n">
        <v>2.63</v>
      </c>
      <c r="N501" s="3" t="n">
        <v>4.08</v>
      </c>
      <c r="O501" s="3" t="n">
        <v>1.45</v>
      </c>
      <c r="P501" s="3" t="n">
        <v>14.49</v>
      </c>
      <c r="Q501" s="3" t="n">
        <v>82.59999999999999</v>
      </c>
      <c r="R501" s="3" t="n">
        <v>4.5</v>
      </c>
      <c r="S501" s="3">
        <f>IF(OR(Q501="",R501="",Q501=0),"",R501/Q501*100)</f>
        <v/>
      </c>
    </row>
  </sheetData>
  <autoFilter ref="A1:S501"/>
  <conditionalFormatting sqref="D2:D5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50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50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50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50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50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J2:J50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K2:K50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L2:L50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M2:M50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N2:N50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O2:O50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台股前500大上市櫃公司 2026 Q1 vs Q2 財報三率、EPS、本益比、殖利率比較 — 方法論說明</t>
        </is>
      </c>
    </row>
    <row r="2">
      <c r="A2" t="inlineStr"/>
    </row>
    <row r="3">
      <c r="A3" s="6" t="inlineStr">
        <is>
          <t>範圍</t>
        </is>
      </c>
    </row>
    <row r="4" ht="45" customHeight="1">
      <c r="A4" s="7" t="inlineStr">
        <is>
          <t>台灣上市＋上櫃依市值排名前500大公司（排除金融控股／銀行／證券／保險業）。資料日期約 2026/08/21。</t>
        </is>
      </c>
    </row>
    <row r="5">
      <c r="A5" t="inlineStr"/>
    </row>
    <row r="6">
      <c r="A6" s="6" t="inlineStr">
        <is>
          <t>三率／EPS 資料來源</t>
        </is>
      </c>
    </row>
    <row r="7" ht="45" customHeight="1">
      <c r="A7" s="7" t="inlineStr">
        <is>
          <t>取自 FinMind TaiwanStockFinancialStatements，2026年Q1／Q2單季數字直接計算三率；成長率(pp)＝Q2三率−Q1三率，試算表中以公式自動計算。</t>
        </is>
      </c>
    </row>
    <row r="8">
      <c r="A8" t="inlineStr"/>
    </row>
    <row r="9">
      <c r="A9" s="6" t="inlineStr">
        <is>
          <t>產業分類／本益比</t>
        </is>
      </c>
    </row>
    <row r="10" ht="45" customHeight="1">
      <c r="A10" s="7" t="inlineStr">
        <is>
          <t>取自 FinMind TaiwanStockInfo／TaiwanStockPER。虧損或無意義者留白。</t>
        </is>
      </c>
    </row>
    <row r="11">
      <c r="A11" t="inlineStr"/>
    </row>
    <row r="12">
      <c r="A12" s="6" t="inlineStr">
        <is>
          <t>目前股價</t>
        </is>
      </c>
    </row>
    <row r="13" ht="45" customHeight="1">
      <c r="A13" s="7" t="inlineStr">
        <is>
          <t>取自 FinMind TaiwanStockPrice 最新收盤價；每日排程自動更新。</t>
        </is>
      </c>
    </row>
    <row r="14">
      <c r="A14" t="inlineStr"/>
    </row>
    <row r="15">
      <c r="A15" s="6" t="inlineStr">
        <is>
          <t>今年配息／殖利率</t>
        </is>
      </c>
    </row>
    <row r="16" ht="45" customHeight="1">
      <c r="A16" s="7" t="inlineStr">
        <is>
          <t>配息＝FinMind TaiwanStockDividend加總除息日在2026年內之現金股利；殖利率＝配息÷股價×100%，試算表中以公式自動計算，非官方年化數值。</t>
        </is>
      </c>
    </row>
    <row r="17">
      <c r="A17" t="inlineStr"/>
    </row>
    <row r="18">
      <c r="A18" s="6" t="inlineStr">
        <is>
          <t>⚠️ 資料完整度提醒</t>
        </is>
      </c>
    </row>
    <row r="19" ht="45" customHeight="1">
      <c r="A19" s="7" t="inlineStr">
        <is>
          <t>新納入約245家公司中，因API速率限制（每欄位最多重試3次），約150家的三率／EPS／本益比／配息暫缺（留白），僅代號、名稱、產業、股價較完整。原有255家資料完整，之後可再補齊。</t>
        </is>
      </c>
    </row>
    <row r="20">
      <c r="A20" t="inlineStr"/>
    </row>
    <row r="21">
      <c r="A21" s="6" t="inlineStr">
        <is>
          <t>欄位性質</t>
        </is>
      </c>
    </row>
    <row r="22" ht="45" customHeight="1">
      <c r="A22" s="7" t="inlineStr">
        <is>
          <t>「成長(pp)」與「殖利率%」為試算表公式，隨左側資料自動重算；其餘欄位皆為外部資料匯入之數值。</t>
        </is>
      </c>
    </row>
    <row r="23">
      <c r="A23" t="inlineStr"/>
    </row>
    <row r="24">
      <c r="A24" s="6" t="inlineStr">
        <is>
          <t>免責聲明</t>
        </is>
      </c>
    </row>
    <row r="25" ht="45" customHeight="1">
      <c r="A25" s="7" t="inlineStr">
        <is>
          <t>此為第三方彙整資料，僅供參考，正式數字請以公司公告及證交所／櫃買中心資訊為準。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2026-10-31T15:53:20Z</dcterms:created>
  <dcterms:modified xsi:type="dcterms:W3CDTF">2026-10-31T15:53:20Z</dcterms:modified>
</cp:coreProperties>
</file>